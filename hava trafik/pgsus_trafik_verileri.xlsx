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lu" sheetId="1" state="visible" r:id="rId1"/>
    <sheet xmlns:r="http://schemas.openxmlformats.org/officeDocument/2006/relationships" name="genel_bakis" sheetId="2" state="visible" r:id="rId2"/>
    <sheet xmlns:r="http://schemas.openxmlformats.org/officeDocument/2006/relationships" name="index" sheetId="3" state="visible" r:id="rId3"/>
    <sheet xmlns:r="http://schemas.openxmlformats.org/officeDocument/2006/relationships" name="1249335_PGS_OCAK_2024_TR_p1" sheetId="4" state="visible" r:id="rId4"/>
    <sheet xmlns:r="http://schemas.openxmlformats.org/officeDocument/2006/relationships" name="1249335_PGS_OCAK_2024_TR_p2" sheetId="5" state="visible" r:id="rId5"/>
    <sheet xmlns:r="http://schemas.openxmlformats.org/officeDocument/2006/relationships" name="1258207_PGS_SUBAT_2024_T_p1" sheetId="6" state="visible" r:id="rId6"/>
    <sheet xmlns:r="http://schemas.openxmlformats.org/officeDocument/2006/relationships" name="1258207_PGS_SUBAT_2024_T_p2" sheetId="7" state="visible" r:id="rId7"/>
    <sheet xmlns:r="http://schemas.openxmlformats.org/officeDocument/2006/relationships" name="1272128_PGS_MART_2024_TR_p1" sheetId="8" state="visible" r:id="rId8"/>
    <sheet xmlns:r="http://schemas.openxmlformats.org/officeDocument/2006/relationships" name="1272128_PGS_MART_2024_TR_p2" sheetId="9" state="visible" r:id="rId9"/>
    <sheet xmlns:r="http://schemas.openxmlformats.org/officeDocument/2006/relationships" name="1286279_PGSUS_NISAN_2024_p1" sheetId="10" state="visible" r:id="rId10"/>
    <sheet xmlns:r="http://schemas.openxmlformats.org/officeDocument/2006/relationships" name="1286279_PGSUS_NISAN_2024_p2" sheetId="11" state="visible" r:id="rId11"/>
    <sheet xmlns:r="http://schemas.openxmlformats.org/officeDocument/2006/relationships" name="1297357_PGSUS_MAYIS_2024_p1" sheetId="12" state="visible" r:id="rId12"/>
    <sheet xmlns:r="http://schemas.openxmlformats.org/officeDocument/2006/relationships" name="1297357_PGSUS_MAYIS_2024_p2" sheetId="13" state="visible" r:id="rId13"/>
    <sheet xmlns:r="http://schemas.openxmlformats.org/officeDocument/2006/relationships" name="1310544_PGSUS_HAZIRAN_20_p1" sheetId="14" state="visible" r:id="rId14"/>
    <sheet xmlns:r="http://schemas.openxmlformats.org/officeDocument/2006/relationships" name="1310544_PGSUS_HAZIRAN_20_p2" sheetId="15" state="visible" r:id="rId15"/>
    <sheet xmlns:r="http://schemas.openxmlformats.org/officeDocument/2006/relationships" name="1324146_PGSUS_TEMMUZ_202_p1" sheetId="16" state="visible" r:id="rId16"/>
    <sheet xmlns:r="http://schemas.openxmlformats.org/officeDocument/2006/relationships" name="1324146_PGSUS_TEMMUZ_202_p2" sheetId="17" state="visible" r:id="rId17"/>
    <sheet xmlns:r="http://schemas.openxmlformats.org/officeDocument/2006/relationships" name="1333219_PGSUS_AGUSTOS_20_p1" sheetId="18" state="visible" r:id="rId18"/>
    <sheet xmlns:r="http://schemas.openxmlformats.org/officeDocument/2006/relationships" name="1333219_PGSUS_AGUSTOS_20_p2" sheetId="19" state="visible" r:id="rId19"/>
    <sheet xmlns:r="http://schemas.openxmlformats.org/officeDocument/2006/relationships" name="1346862_PGSUS_EYLUL_2024_p1" sheetId="20" state="visible" r:id="rId20"/>
    <sheet xmlns:r="http://schemas.openxmlformats.org/officeDocument/2006/relationships" name="1346862_PGSUS_EYLUL_2024_p2" sheetId="21" state="visible" r:id="rId21"/>
    <sheet xmlns:r="http://schemas.openxmlformats.org/officeDocument/2006/relationships" name="1357723_PGSUS_EKIM_2024__p1" sheetId="22" state="visible" r:id="rId22"/>
    <sheet xmlns:r="http://schemas.openxmlformats.org/officeDocument/2006/relationships" name="1357723_PGSUS_EKIM_2024__p2" sheetId="23" state="visible" r:id="rId23"/>
    <sheet xmlns:r="http://schemas.openxmlformats.org/officeDocument/2006/relationships" name="1365195_PGSUS_KASIM_2024_p1" sheetId="24" state="visible" r:id="rId24"/>
    <sheet xmlns:r="http://schemas.openxmlformats.org/officeDocument/2006/relationships" name="1365195_PGSUS_KASIM_2024_p2" sheetId="25" state="visible" r:id="rId25"/>
    <sheet xmlns:r="http://schemas.openxmlformats.org/officeDocument/2006/relationships" name="1380499_PGSUS_ARALIK_202_p1" sheetId="26" state="visible" r:id="rId26"/>
    <sheet xmlns:r="http://schemas.openxmlformats.org/officeDocument/2006/relationships" name="1380499_PGSUS_ARALIK_202_p2" sheetId="27" state="visible" r:id="rId27"/>
    <sheet xmlns:r="http://schemas.openxmlformats.org/officeDocument/2006/relationships" name="1393473_PGS_OCAK_2025_TR_p1" sheetId="28" state="visible" r:id="rId28"/>
    <sheet xmlns:r="http://schemas.openxmlformats.org/officeDocument/2006/relationships" name="1393473_PGS_OCAK_2025_TR_p2" sheetId="29" state="visible" r:id="rId29"/>
    <sheet xmlns:r="http://schemas.openxmlformats.org/officeDocument/2006/relationships" name="1406438_PGSUS_SUBAT_2025_p1" sheetId="30" state="visible" r:id="rId30"/>
    <sheet xmlns:r="http://schemas.openxmlformats.org/officeDocument/2006/relationships" name="1406438_PGSUS_SUBAT_2025_p2" sheetId="31" state="visible" r:id="rId31"/>
    <sheet xmlns:r="http://schemas.openxmlformats.org/officeDocument/2006/relationships" name="1425340_PGSUS_MART_2025__p1" sheetId="32" state="visible" r:id="rId32"/>
    <sheet xmlns:r="http://schemas.openxmlformats.org/officeDocument/2006/relationships" name="1425340_PGSUS_MART_2025__p2" sheetId="33" state="visible" r:id="rId33"/>
    <sheet xmlns:r="http://schemas.openxmlformats.org/officeDocument/2006/relationships" name="1439455_PGSUS_NISAN_2025_p1" sheetId="34" state="visible" r:id="rId34"/>
    <sheet xmlns:r="http://schemas.openxmlformats.org/officeDocument/2006/relationships" name="1439455_PGSUS_NISAN_2025_p2" sheetId="35" state="visible" r:id="rId35"/>
    <sheet xmlns:r="http://schemas.openxmlformats.org/officeDocument/2006/relationships" name="1448317_PGSUS_MAYIS_2025_p1" sheetId="36" state="visible" r:id="rId36"/>
    <sheet xmlns:r="http://schemas.openxmlformats.org/officeDocument/2006/relationships" name="1448317_PGSUS_MAYIS_2025_p2" sheetId="37" state="visible" r:id="rId37"/>
    <sheet xmlns:r="http://schemas.openxmlformats.org/officeDocument/2006/relationships" name="1464093_PGSUS_HAZIRAN_20_p1" sheetId="38" state="visible" r:id="rId38"/>
    <sheet xmlns:r="http://schemas.openxmlformats.org/officeDocument/2006/relationships" name="1464093_PGSUS_HAZIRAN_20_p2" sheetId="39" state="visible" r:id="rId39"/>
    <sheet xmlns:r="http://schemas.openxmlformats.org/officeDocument/2006/relationships" name="1480026_PGSUS_TEMMUZ_202_p1" sheetId="40" state="visible" r:id="rId40"/>
    <sheet xmlns:r="http://schemas.openxmlformats.org/officeDocument/2006/relationships" name="1480026_PGSUS_TEMMUZ_202_p2" sheetId="41" state="visible" r:id="rId41"/>
    <sheet xmlns:r="http://schemas.openxmlformats.org/officeDocument/2006/relationships" name="1488823_PGSUS_AGUSTOS_20_p1" sheetId="42" state="visible" r:id="rId42"/>
    <sheet xmlns:r="http://schemas.openxmlformats.org/officeDocument/2006/relationships" name="1488823_PGSUS_AGUSTOS_20_p2" sheetId="43" state="visible" r:id="rId43"/>
    <sheet xmlns:r="http://schemas.openxmlformats.org/officeDocument/2006/relationships" name="1503450_PGSUS_EYLUL_2025_p1" sheetId="44" state="visible" r:id="rId44"/>
    <sheet xmlns:r="http://schemas.openxmlformats.org/officeDocument/2006/relationships" name="1503450_PGSUS_EYLUL_2025_p2" sheetId="45" state="visible" r:id="rId45"/>
    <sheet xmlns:r="http://schemas.openxmlformats.org/officeDocument/2006/relationships" name="1516276_PGSUS_EKIM_2025__p1" sheetId="46" state="visible" r:id="rId46"/>
    <sheet xmlns:r="http://schemas.openxmlformats.org/officeDocument/2006/relationships" name="1516276_PGSUS_EKIM_2025__p2" sheetId="47" state="visible" r:id="rId47"/>
    <sheet xmlns:r="http://schemas.openxmlformats.org/officeDocument/2006/relationships" name="1526775_PGSUS_KASIM_2025_p1" sheetId="48" state="visible" r:id="rId48"/>
    <sheet xmlns:r="http://schemas.openxmlformats.org/officeDocument/2006/relationships" name="1526775_PGSUS_KASIM_2025_p2" sheetId="49" state="visible" r:id="rId49"/>
    <sheet xmlns:r="http://schemas.openxmlformats.org/officeDocument/2006/relationships" name="1543631_PGSUS_ARALIK_202_p1" sheetId="50" state="visible" r:id="rId50"/>
    <sheet xmlns:r="http://schemas.openxmlformats.org/officeDocument/2006/relationships" name="1543631_PGSUS_ARALIK_202_p2" sheetId="51" state="visible" r:id="rId51"/>
    <sheet xmlns:r="http://schemas.openxmlformats.org/officeDocument/2006/relationships" name="1556641_PGSUS_OCAK_2026__p1" sheetId="52" state="visible" r:id="rId52"/>
    <sheet xmlns:r="http://schemas.openxmlformats.org/officeDocument/2006/relationships" name="1556641_PGSUS_OCAK_2026__p2" sheetId="53" state="visible" r:id="rId53"/>
    <sheet xmlns:r="http://schemas.openxmlformats.org/officeDocument/2006/relationships" name="1573193_PGSUS_SUBAT_2026_p1" sheetId="54" state="visible" r:id="rId54"/>
    <sheet xmlns:r="http://schemas.openxmlformats.org/officeDocument/2006/relationships" name="1573193_PGSUS_SUBAT_2026_p2" sheetId="55" state="visible" r:id="rId55"/>
    <sheet xmlns:r="http://schemas.openxmlformats.org/officeDocument/2006/relationships" name="1592342_PGSUS_MART_2026__p1" sheetId="56" state="visible" r:id="rId56"/>
    <sheet xmlns:r="http://schemas.openxmlformats.org/officeDocument/2006/relationships" name="1592342_PGSUS_MART_2026__p2" sheetId="57" state="visible" r:id="rId57"/>
    <sheet xmlns:r="http://schemas.openxmlformats.org/officeDocument/2006/relationships" name="740624_PGS_Trafik_Ocak_2_p1" sheetId="58" state="visible" r:id="rId58"/>
    <sheet xmlns:r="http://schemas.openxmlformats.org/officeDocument/2006/relationships" name="746678_PGS_Trafik_Subat__p1" sheetId="59" state="visible" r:id="rId59"/>
    <sheet xmlns:r="http://schemas.openxmlformats.org/officeDocument/2006/relationships" name="755325_PGS_Trafik_Mart_2_p1" sheetId="60" state="visible" r:id="rId60"/>
    <sheet xmlns:r="http://schemas.openxmlformats.org/officeDocument/2006/relationships" name="763753_PGS_Trafik_Nisan__p1" sheetId="61" state="visible" r:id="rId61"/>
    <sheet xmlns:r="http://schemas.openxmlformats.org/officeDocument/2006/relationships" name="769413_PGS_Trafik_Mays_2_p1" sheetId="62" state="visible" r:id="rId62"/>
    <sheet xmlns:r="http://schemas.openxmlformats.org/officeDocument/2006/relationships" name="773700_PGS_Trafik_Hazira_p1" sheetId="63" state="visible" r:id="rId63"/>
    <sheet xmlns:r="http://schemas.openxmlformats.org/officeDocument/2006/relationships" name="783248_PGS_TEMMUZ_2019_T_p1" sheetId="64" state="visible" r:id="rId64"/>
    <sheet xmlns:r="http://schemas.openxmlformats.org/officeDocument/2006/relationships" name="786750_PGS_AGUSTOS_2019__p1" sheetId="65" state="visible" r:id="rId65"/>
    <sheet xmlns:r="http://schemas.openxmlformats.org/officeDocument/2006/relationships" name="791930_PGS_EYLUL_2019_TR_p1" sheetId="66" state="visible" r:id="rId66"/>
    <sheet xmlns:r="http://schemas.openxmlformats.org/officeDocument/2006/relationships" name="799559_PGS_EKIM_2019_TRA_p1" sheetId="67" state="visible" r:id="rId67"/>
    <sheet xmlns:r="http://schemas.openxmlformats.org/officeDocument/2006/relationships" name="802692_PGS_KASIM_2019_TR_p1" sheetId="68" state="visible" r:id="rId68"/>
    <sheet xmlns:r="http://schemas.openxmlformats.org/officeDocument/2006/relationships" name="809608_PGS_ARALIK_2019_T_p1" sheetId="69" state="visible" r:id="rId69"/>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quot;p&quot;"/>
    <numFmt numFmtId="167" formatCode="0.0"/>
  </numFmts>
  <fonts count="3">
    <font>
      <name val="Calibri"/>
      <family val="2"/>
      <color theme="1"/>
      <sz val="11"/>
      <scheme val="minor"/>
    </font>
    <font>
      <b val="1"/>
    </font>
    <font>
      <b val="1"/>
      <color rgb="00FFFFFF"/>
      <sz val="16"/>
    </font>
  </fonts>
  <fills count="5">
    <fill>
      <patternFill/>
    </fill>
    <fill>
      <patternFill patternType="gray125"/>
    </fill>
    <fill>
      <patternFill patternType="solid">
        <fgColor rgb="00EAF2D3"/>
      </patternFill>
    </fill>
    <fill>
      <patternFill patternType="solid">
        <fgColor rgb="00D9EAF7"/>
      </patternFill>
    </fill>
    <fill>
      <patternFill patternType="solid">
        <fgColor rgb="001F4E78"/>
      </patternFill>
    </fill>
  </fills>
  <borders count="2">
    <border>
      <left/>
      <right/>
      <top/>
      <bottom/>
      <diagonal/>
    </border>
    <border>
      <left style="thin">
        <color rgb="00C9D2E3"/>
      </left>
      <right style="thin">
        <color rgb="00C9D2E3"/>
      </right>
      <top style="thin">
        <color rgb="00C9D2E3"/>
      </top>
      <bottom style="thin">
        <color rgb="00C9D2E3"/>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0" applyAlignment="1" pivotButton="0" quotePrefix="0" xfId="0">
      <alignment horizontal="left" vertical="center" wrapText="1"/>
    </xf>
    <xf numFmtId="3" fontId="0" fillId="0" borderId="0" applyAlignment="1" pivotButton="0" quotePrefix="0" xfId="0">
      <alignment horizontal="right" vertical="center"/>
    </xf>
    <xf numFmtId="164" fontId="0" fillId="0" borderId="0" applyAlignment="1" pivotButton="0" quotePrefix="0" xfId="0">
      <alignment horizontal="right" vertical="center"/>
    </xf>
    <xf numFmtId="165" fontId="0" fillId="0" borderId="0" applyAlignment="1" pivotButton="0" quotePrefix="0" xfId="0">
      <alignment horizontal="right" vertical="center"/>
    </xf>
    <xf numFmtId="166" fontId="0" fillId="0" borderId="0" applyAlignment="1" pivotButton="0" quotePrefix="0" xfId="0">
      <alignment horizontal="right" vertical="center"/>
    </xf>
    <xf numFmtId="0" fontId="2" fillId="4" borderId="0" pivotButton="0" quotePrefix="0" xfId="0"/>
    <xf numFmtId="0" fontId="1" fillId="3" borderId="0" pivotButton="0" quotePrefix="0" xfId="0"/>
    <xf numFmtId="164" fontId="0" fillId="0" borderId="0" pivotButton="0" quotePrefix="0" xfId="0"/>
    <xf numFmtId="3" fontId="0" fillId="0" borderId="0" pivotButton="0" quotePrefix="0" xfId="0"/>
    <xf numFmtId="165" fontId="0" fillId="0" borderId="0" pivotButton="0" quotePrefix="0" xfId="0"/>
    <xf numFmtId="0" fontId="1" fillId="3" borderId="1" applyAlignment="1" pivotButton="0" quotePrefix="0" xfId="0">
      <alignment horizontal="left" vertical="center"/>
    </xf>
    <xf numFmtId="0" fontId="1" fillId="3" borderId="1" applyAlignment="1" pivotButton="0" quotePrefix="0" xfId="0">
      <alignment horizontal="center" vertical="center"/>
    </xf>
    <xf numFmtId="0" fontId="0" fillId="3" borderId="1" pivotButton="0" quotePrefix="0" xfId="0"/>
    <xf numFmtId="0" fontId="0" fillId="0" borderId="1" applyAlignment="1" pivotButton="0" quotePrefix="0" xfId="0">
      <alignment horizontal="left" vertical="center"/>
    </xf>
    <xf numFmtId="2" fontId="0" fillId="0" borderId="1" applyAlignment="1" pivotButton="0" quotePrefix="0" xfId="0">
      <alignment horizontal="right" vertical="center"/>
    </xf>
    <xf numFmtId="0" fontId="0" fillId="0" borderId="1" applyAlignment="1" pivotButton="0" quotePrefix="0" xfId="0">
      <alignment horizontal="right" vertical="center"/>
    </xf>
    <xf numFmtId="3" fontId="0" fillId="0" borderId="1" applyAlignment="1" pivotButton="0" quotePrefix="0" xfId="0">
      <alignment horizontal="right" vertical="center"/>
    </xf>
    <xf numFmtId="165" fontId="0" fillId="0" borderId="1" applyAlignment="1" pivotButton="0" quotePrefix="0" xfId="0">
      <alignment horizontal="right" vertical="center"/>
    </xf>
    <xf numFmtId="1" fontId="0" fillId="0" borderId="1" applyAlignment="1" pivotButton="0" quotePrefix="0" xfId="0">
      <alignment horizontal="right" vertical="center"/>
    </xf>
    <xf numFmtId="167"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styles" Target="styles.xml" Id="rId70"/><Relationship Type="http://schemas.openxmlformats.org/officeDocument/2006/relationships/theme" Target="theme/theme1.xml" Id="rId7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Misafir Sayisi (mn)</a:t>
            </a:r>
          </a:p>
        </rich>
      </tx>
    </title>
    <plotArea>
      <lineChart>
        <grouping val="standard"/>
        <ser>
          <idx val="0"/>
          <order val="0"/>
          <tx>
            <strRef>
              <f>'genel_bakis'!O2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'genel_bakis'!$O$3:$O$27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mn</a:t>
                </a:r>
              </a:p>
            </rich>
          </tx>
        </title>
        <majorTickMark val="none"/>
        <minorTickMark val="none"/>
        <crossAx val="10"/>
      </valAx>
    </plotArea>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Konma</a:t>
            </a:r>
          </a:p>
        </rich>
      </tx>
    </title>
    <plotArea>
      <lineChart>
        <grouping val="standard"/>
        <ser>
          <idx val="0"/>
          <order val="0"/>
          <tx>
            <strRef>
              <f>'genel_bakis'!P2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'genel_bakis'!$P$3:$P$27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Sefer</a:t>
                </a:r>
              </a:p>
            </rich>
          </tx>
        </title>
        <majorTickMark val="none"/>
        <minorTickMark val="none"/>
        <crossAx val="10"/>
      </valAx>
    </plotArea>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Koltuk Sayisi (mn)</a:t>
            </a:r>
          </a:p>
        </rich>
      </tx>
    </title>
    <plotArea>
      <lineChart>
        <grouping val="standard"/>
        <ser>
          <idx val="0"/>
          <order val="0"/>
          <tx>
            <strRef>
              <f>'genel_bakis'!Q2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'genel_bakis'!$Q$3:$Q$27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mn</a:t>
                </a:r>
              </a:p>
            </rich>
          </tx>
        </title>
        <majorTickMark val="none"/>
        <minorTickMark val="none"/>
        <crossAx val="10"/>
      </valAx>
    </plotArea>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Doluluk Orani</a:t>
            </a:r>
          </a:p>
        </rich>
      </tx>
    </title>
    <plotArea>
      <lineChart>
        <grouping val="standard"/>
        <ser>
          <idx val="0"/>
          <order val="0"/>
          <tx>
            <strRef>
              <f>'genel_bakis'!R2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'genel_bakis'!$R$3:$R$27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Oran</a:t>
                </a:r>
              </a:p>
            </rich>
          </tx>
        </title>
        <numFmt formatCode="0%" sourceLinked="0"/>
        <majorTickMark val="none"/>
        <minorTickMark val="none"/>
        <crossAx val="10"/>
      </valAx>
    </plotArea>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ASK (mln km)</a:t>
            </a:r>
          </a:p>
        </rich>
      </tx>
    </title>
    <plotArea>
      <lineChart>
        <grouping val="standard"/>
        <ser>
          <idx val="0"/>
          <order val="0"/>
          <tx>
            <strRef>
              <f>'genel_bakis'!S2</f>
            </strRef>
          </tx>
          <spPr>
            <a:ln xmlns:a="http://schemas.openxmlformats.org/drawingml/2006/main">
              <a:prstDash val="solid"/>
            </a:ln>
          </spPr>
          <marker>
            <symbol val="none"/>
            <spPr>
              <a:ln xmlns:a="http://schemas.openxmlformats.org/drawingml/2006/main">
                <a:prstDash val="solid"/>
              </a:ln>
            </spPr>
          </marker>
          <cat>
            <numRef>
              <f>'genel_bakis'!$N$3:$N$27</f>
            </numRef>
          </cat>
          <val>
            <numRef>
              <f>'genel_bakis'!$S$3:$S$27</f>
            </numRef>
          </val>
        </ser>
        <axId val="10"/>
        <axId val="100"/>
      </lineChart>
      <catAx>
        <axId val="10"/>
        <scaling>
          <orientation val="minMax"/>
        </scaling>
        <axPos val="l"/>
        <title>
          <tx>
            <rich>
              <a:bodyPr xmlns:a="http://schemas.openxmlformats.org/drawingml/2006/main"/>
              <a:p xmlns:a="http://schemas.openxmlformats.org/drawingml/2006/main">
                <a:pPr>
                  <a:defRPr/>
                </a:pPr>
                <a:r>
                  <a:t>Ay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mln km</a:t>
                </a:r>
              </a:p>
            </rich>
          </tx>
        </title>
        <majorTickMark val="none"/>
        <minorTickMark val="none"/>
        <crossAx val="10"/>
      </valAx>
    </plotArea>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row>
      <rowOff>0</rowOff>
    </from>
    <ext cx="3888000" cy="2448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3</row>
      <rowOff>0</rowOff>
    </from>
    <ext cx="3888000" cy="2448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19</row>
      <rowOff>0</rowOff>
    </from>
    <ext cx="3888000" cy="2448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19</row>
      <rowOff>0</rowOff>
    </from>
    <ext cx="3888000" cy="2448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35</row>
      <rowOff>0</rowOff>
    </from>
    <ext cx="3888000" cy="2448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AN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s>
  <sheetData>
    <row r="1" ht="22" customHeight="1"/>
    <row r="2" ht="22" customHeight="1">
      <c r="A2" s="14" t="inlineStr">
        <is>
          <t>TOPLAM</t>
        </is>
      </c>
      <c r="B2" s="15" t="n"/>
      <c r="C2" s="15" t="n"/>
      <c r="D2" s="15" t="n"/>
      <c r="E2" s="15" t="n"/>
      <c r="F2" s="15" t="n"/>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c r="AF2" s="15" t="n"/>
      <c r="AG2" s="15" t="n"/>
      <c r="AH2" s="15" t="n"/>
      <c r="AI2" s="15" t="n"/>
      <c r="AJ2" s="15" t="n"/>
      <c r="AK2" s="15" t="n"/>
      <c r="AL2" s="15" t="n"/>
      <c r="AM2" s="15" t="n"/>
      <c r="AN2" s="15" t="n"/>
    </row>
    <row r="3" ht="22" customHeight="1">
      <c r="A3" s="16" t="inlineStr"/>
      <c r="B3" s="15" t="inlineStr">
        <is>
          <t>2026/3</t>
        </is>
      </c>
      <c r="C3" s="15" t="inlineStr">
        <is>
          <t>2026/2</t>
        </is>
      </c>
      <c r="D3" s="15" t="inlineStr">
        <is>
          <t>2026/1</t>
        </is>
      </c>
      <c r="E3" s="15" t="inlineStr">
        <is>
          <t>2025/12</t>
        </is>
      </c>
      <c r="F3" s="15" t="inlineStr">
        <is>
          <t>2025/11</t>
        </is>
      </c>
      <c r="G3" s="15" t="inlineStr">
        <is>
          <t>2025/10</t>
        </is>
      </c>
      <c r="H3" s="15" t="inlineStr">
        <is>
          <t>2025/9</t>
        </is>
      </c>
      <c r="I3" s="15" t="inlineStr">
        <is>
          <t>2025/8</t>
        </is>
      </c>
      <c r="J3" s="15" t="inlineStr">
        <is>
          <t>2025/7</t>
        </is>
      </c>
      <c r="K3" s="15" t="inlineStr">
        <is>
          <t>2025/6</t>
        </is>
      </c>
      <c r="L3" s="15" t="inlineStr">
        <is>
          <t>2025/5</t>
        </is>
      </c>
      <c r="M3" s="15" t="inlineStr">
        <is>
          <t>2025/4</t>
        </is>
      </c>
      <c r="N3" s="15" t="inlineStr">
        <is>
          <t>2025/3</t>
        </is>
      </c>
      <c r="O3" s="15" t="inlineStr">
        <is>
          <t>2025/2</t>
        </is>
      </c>
      <c r="P3" s="15" t="inlineStr">
        <is>
          <t>2025/1</t>
        </is>
      </c>
      <c r="Q3" s="15" t="inlineStr">
        <is>
          <t>2024/12</t>
        </is>
      </c>
      <c r="R3" s="15" t="inlineStr">
        <is>
          <t>2024/11</t>
        </is>
      </c>
      <c r="S3" s="15" t="inlineStr">
        <is>
          <t>2024/10</t>
        </is>
      </c>
      <c r="T3" s="15" t="inlineStr">
        <is>
          <t>2024/9</t>
        </is>
      </c>
      <c r="U3" s="15" t="inlineStr">
        <is>
          <t>2024/8</t>
        </is>
      </c>
      <c r="V3" s="15" t="inlineStr">
        <is>
          <t>2024/7</t>
        </is>
      </c>
      <c r="W3" s="15" t="inlineStr">
        <is>
          <t>2024/6</t>
        </is>
      </c>
      <c r="X3" s="15" t="inlineStr">
        <is>
          <t>2024/5</t>
        </is>
      </c>
      <c r="Y3" s="15" t="inlineStr">
        <is>
          <t>2024/4</t>
        </is>
      </c>
      <c r="Z3" s="15" t="inlineStr">
        <is>
          <t>2024/3</t>
        </is>
      </c>
      <c r="AA3" s="15" t="inlineStr">
        <is>
          <t>2024/2</t>
        </is>
      </c>
      <c r="AB3" s="15" t="inlineStr">
        <is>
          <t>2024/1</t>
        </is>
      </c>
      <c r="AC3" s="15" t="inlineStr">
        <is>
          <t>2019/12</t>
        </is>
      </c>
      <c r="AD3" s="15" t="inlineStr">
        <is>
          <t>2019/11</t>
        </is>
      </c>
      <c r="AE3" s="15" t="inlineStr">
        <is>
          <t>2019/10</t>
        </is>
      </c>
      <c r="AF3" s="15" t="inlineStr">
        <is>
          <t>2019/9</t>
        </is>
      </c>
      <c r="AG3" s="15" t="inlineStr">
        <is>
          <t>2019/8</t>
        </is>
      </c>
      <c r="AH3" s="15" t="inlineStr">
        <is>
          <t>2019/7</t>
        </is>
      </c>
      <c r="AI3" s="15" t="inlineStr">
        <is>
          <t>2019/6</t>
        </is>
      </c>
      <c r="AJ3" s="15" t="inlineStr">
        <is>
          <t>2019/5</t>
        </is>
      </c>
      <c r="AK3" s="15" t="inlineStr">
        <is>
          <t>2019/4</t>
        </is>
      </c>
      <c r="AL3" s="15" t="inlineStr">
        <is>
          <t>2019/3</t>
        </is>
      </c>
      <c r="AM3" s="15" t="inlineStr">
        <is>
          <t>2019/2</t>
        </is>
      </c>
      <c r="AN3" s="15" t="inlineStr">
        <is>
          <t>2019/1</t>
        </is>
      </c>
    </row>
    <row r="4" ht="22" customHeight="1">
      <c r="A4" s="17" t="inlineStr">
        <is>
          <t>MISAFIR SAYISI (mn)</t>
        </is>
      </c>
      <c r="B4" s="18" t="n">
        <v>3.16</v>
      </c>
      <c r="C4" s="18" t="n">
        <v>3.12</v>
      </c>
      <c r="D4" s="18" t="n">
        <v>3.55</v>
      </c>
      <c r="E4" s="18" t="n">
        <v>3.62</v>
      </c>
      <c r="F4" s="18" t="n">
        <v>3.63</v>
      </c>
      <c r="G4" s="18" t="n">
        <v>4.06</v>
      </c>
      <c r="H4" s="18" t="n">
        <v>4</v>
      </c>
      <c r="I4" s="18" t="n">
        <v>4.29</v>
      </c>
      <c r="J4" s="18" t="n">
        <v>3.93</v>
      </c>
      <c r="K4" s="18" t="n">
        <v>3.61</v>
      </c>
      <c r="L4" s="18" t="n">
        <v>3.62</v>
      </c>
      <c r="M4" s="18" t="n">
        <v>3.45</v>
      </c>
      <c r="N4" s="18" t="n">
        <v>3.01</v>
      </c>
      <c r="O4" s="18" t="n">
        <v>2.83</v>
      </c>
      <c r="P4" s="19" t="n"/>
      <c r="Q4" s="18" t="n">
        <v>3.1</v>
      </c>
      <c r="R4" s="18" t="n">
        <v>3.04</v>
      </c>
      <c r="S4" s="18" t="n">
        <v>3.37</v>
      </c>
      <c r="T4" s="18" t="n">
        <v>3.33</v>
      </c>
      <c r="U4" s="18" t="n">
        <v>3.67</v>
      </c>
      <c r="V4" s="18" t="n">
        <v>3.55</v>
      </c>
      <c r="W4" s="18" t="n">
        <v>3.27</v>
      </c>
      <c r="X4" s="18" t="n">
        <v>3.16</v>
      </c>
      <c r="Y4" s="18" t="n">
        <v>2.92</v>
      </c>
      <c r="Z4" s="18" t="n">
        <v>2.72</v>
      </c>
      <c r="AA4" s="18" t="n">
        <v>2.68</v>
      </c>
      <c r="AB4" s="18" t="n">
        <v>2.66</v>
      </c>
      <c r="AC4" s="18" t="n">
        <v>2.39</v>
      </c>
      <c r="AD4" s="18" t="n">
        <v>2.38</v>
      </c>
      <c r="AE4" s="18" t="n">
        <v>2.65</v>
      </c>
      <c r="AF4" s="18" t="n">
        <v>2.74</v>
      </c>
      <c r="AG4" s="18" t="n">
        <v>2.96</v>
      </c>
      <c r="AH4" s="18" t="n">
        <v>2.86</v>
      </c>
      <c r="AI4" s="18" t="n">
        <v>2.58</v>
      </c>
      <c r="AJ4" s="18" t="n">
        <v>2.24</v>
      </c>
      <c r="AK4" s="18" t="n">
        <v>2.37</v>
      </c>
      <c r="AL4" s="18" t="n">
        <v>2.33</v>
      </c>
      <c r="AM4" s="18" t="n">
        <v>2.09</v>
      </c>
      <c r="AN4" s="18" t="n">
        <v>2.28</v>
      </c>
    </row>
    <row r="5" ht="22" customHeight="1">
      <c r="A5" s="17" t="inlineStr">
        <is>
          <t>KONMA</t>
        </is>
      </c>
      <c r="B5" s="20" t="n">
        <v>17786</v>
      </c>
      <c r="C5" s="20" t="n">
        <v>17028</v>
      </c>
      <c r="D5" s="20" t="n">
        <v>19426</v>
      </c>
      <c r="E5" s="20" t="n">
        <v>19787</v>
      </c>
      <c r="F5" s="20" t="n">
        <v>19246</v>
      </c>
      <c r="G5" s="20" t="n">
        <v>21676</v>
      </c>
      <c r="H5" s="20" t="n">
        <v>21299</v>
      </c>
      <c r="I5" s="20" t="n">
        <v>22450</v>
      </c>
      <c r="J5" s="20" t="n">
        <v>21258</v>
      </c>
      <c r="K5" s="20" t="n">
        <v>19794</v>
      </c>
      <c r="L5" s="20" t="n">
        <v>19992</v>
      </c>
      <c r="M5" s="20" t="n">
        <v>18911</v>
      </c>
      <c r="N5" s="20" t="n">
        <v>16884</v>
      </c>
      <c r="O5" s="20" t="n">
        <v>15119</v>
      </c>
      <c r="P5" s="19" t="n"/>
      <c r="Q5" s="20" t="n">
        <v>17367</v>
      </c>
      <c r="R5" s="20" t="n">
        <v>16704</v>
      </c>
      <c r="S5" s="20" t="n">
        <v>18284</v>
      </c>
      <c r="T5" s="20" t="n">
        <v>18082</v>
      </c>
      <c r="U5" s="20" t="n">
        <v>19542</v>
      </c>
      <c r="V5" s="20" t="n">
        <v>19215</v>
      </c>
      <c r="W5" s="20" t="n">
        <v>18231</v>
      </c>
      <c r="X5" s="20" t="n">
        <v>17485</v>
      </c>
      <c r="Y5" s="20" t="n">
        <v>16077</v>
      </c>
      <c r="Z5" s="20" t="n">
        <v>15165</v>
      </c>
      <c r="AA5" s="20" t="n">
        <v>14658</v>
      </c>
      <c r="AB5" s="20" t="n">
        <v>15238</v>
      </c>
      <c r="AC5" s="20" t="n">
        <v>15051</v>
      </c>
      <c r="AD5" s="20" t="n">
        <v>14775</v>
      </c>
      <c r="AE5" s="20" t="n">
        <v>16516</v>
      </c>
      <c r="AF5" s="20" t="n">
        <v>16912</v>
      </c>
      <c r="AG5" s="20" t="n">
        <v>17897</v>
      </c>
      <c r="AH5" s="20" t="n">
        <v>17313</v>
      </c>
      <c r="AI5" s="20" t="n">
        <v>16256</v>
      </c>
      <c r="AJ5" s="20" t="n">
        <v>14998</v>
      </c>
      <c r="AK5" s="20" t="n">
        <v>14631</v>
      </c>
      <c r="AL5" s="20" t="n">
        <v>14764</v>
      </c>
      <c r="AM5" s="20" t="n">
        <v>13265</v>
      </c>
      <c r="AN5" s="20" t="n">
        <v>14929</v>
      </c>
    </row>
    <row r="6" ht="22" customHeight="1">
      <c r="A6" s="17" t="inlineStr">
        <is>
          <t>KOLTUK SAYISI (mn)</t>
        </is>
      </c>
      <c r="B6" s="18" t="n">
        <v>3.74</v>
      </c>
      <c r="C6" s="18" t="n">
        <v>3.58</v>
      </c>
      <c r="D6" s="18" t="n">
        <v>4.08</v>
      </c>
      <c r="E6" s="18" t="n">
        <v>4.17</v>
      </c>
      <c r="F6" s="18" t="n">
        <v>4.05</v>
      </c>
      <c r="G6" s="18" t="n">
        <v>4.58</v>
      </c>
      <c r="H6" s="18" t="n">
        <v>4.51</v>
      </c>
      <c r="I6" s="18" t="n">
        <v>4.72</v>
      </c>
      <c r="J6" s="18" t="n">
        <v>4.47</v>
      </c>
      <c r="K6" s="18" t="n">
        <v>4.17</v>
      </c>
      <c r="L6" s="18" t="n">
        <v>4.22</v>
      </c>
      <c r="M6" s="18" t="n">
        <v>3.98</v>
      </c>
      <c r="N6" s="18" t="n">
        <v>3.57</v>
      </c>
      <c r="O6" s="18" t="n">
        <v>3.18</v>
      </c>
      <c r="P6" s="19" t="n"/>
      <c r="Q6" s="18" t="n">
        <v>3.64</v>
      </c>
      <c r="R6" s="18" t="n">
        <v>3.49</v>
      </c>
      <c r="S6" s="18" t="n">
        <v>3.83</v>
      </c>
      <c r="T6" s="18" t="n">
        <v>3.78</v>
      </c>
      <c r="U6" s="18" t="n">
        <v>4.07</v>
      </c>
      <c r="V6" s="18" t="n">
        <v>3.99</v>
      </c>
      <c r="W6" s="18" t="n">
        <v>3.78</v>
      </c>
      <c r="X6" s="18" t="n">
        <v>3.62</v>
      </c>
      <c r="Y6" s="18" t="n">
        <v>3.31</v>
      </c>
      <c r="Z6" s="18" t="n">
        <v>3.11</v>
      </c>
      <c r="AA6" s="18" t="n">
        <v>3.01</v>
      </c>
      <c r="AB6" s="18" t="n">
        <v>3.12</v>
      </c>
      <c r="AC6" s="18" t="n">
        <v>2.81</v>
      </c>
      <c r="AD6" s="18" t="n">
        <v>2.76</v>
      </c>
      <c r="AE6" s="18" t="n">
        <v>3.07</v>
      </c>
      <c r="AF6" s="18" t="n">
        <v>3.15</v>
      </c>
      <c r="AG6" s="18" t="n">
        <v>3.3</v>
      </c>
      <c r="AH6" s="18" t="n">
        <v>3.2</v>
      </c>
      <c r="AI6" s="18" t="n">
        <v>3.01</v>
      </c>
      <c r="AJ6" s="18" t="n">
        <v>2.78</v>
      </c>
      <c r="AK6" s="18" t="n">
        <v>2.7</v>
      </c>
      <c r="AL6" s="18" t="n">
        <v>2.74</v>
      </c>
      <c r="AM6" s="18" t="n">
        <v>2.46</v>
      </c>
      <c r="AN6" s="18" t="n">
        <v>2.75</v>
      </c>
    </row>
    <row r="7" ht="22" customHeight="1">
      <c r="A7" s="17" t="inlineStr">
        <is>
          <t>DOLULUK ORANI (%)</t>
        </is>
      </c>
      <c r="B7" s="21" t="n">
        <v>0.845</v>
      </c>
      <c r="C7" s="21" t="n">
        <v>0.873</v>
      </c>
      <c r="D7" s="21" t="n">
        <v>0.871</v>
      </c>
      <c r="E7" s="21" t="n">
        <v>0.8690000000000001</v>
      </c>
      <c r="F7" s="21" t="n">
        <v>0.898</v>
      </c>
      <c r="G7" s="21" t="n">
        <v>0.887</v>
      </c>
      <c r="H7" s="21" t="n">
        <v>0.887</v>
      </c>
      <c r="I7" s="21" t="n">
        <v>0.909</v>
      </c>
      <c r="J7" s="21" t="n">
        <v>0.88</v>
      </c>
      <c r="K7" s="21" t="n">
        <v>0.866</v>
      </c>
      <c r="L7" s="21" t="n">
        <v>0.8590000000000001</v>
      </c>
      <c r="M7" s="21" t="n">
        <v>0.868</v>
      </c>
      <c r="N7" s="21" t="n">
        <v>0.843</v>
      </c>
      <c r="O7" s="21" t="n">
        <v>0.8909999999999999</v>
      </c>
      <c r="P7" s="19" t="n"/>
      <c r="Q7" s="21" t="n">
        <v>0.852</v>
      </c>
      <c r="R7" s="21" t="n">
        <v>0.87</v>
      </c>
      <c r="S7" s="21" t="n">
        <v>0.879</v>
      </c>
      <c r="T7" s="21" t="n">
        <v>0.8809999999999999</v>
      </c>
      <c r="U7" s="21" t="n">
        <v>0.9009999999999999</v>
      </c>
      <c r="V7" s="21" t="n">
        <v>0.889</v>
      </c>
      <c r="W7" s="21" t="n">
        <v>0.867</v>
      </c>
      <c r="X7" s="21" t="n">
        <v>0.875</v>
      </c>
      <c r="Y7" s="21" t="n">
        <v>0.883</v>
      </c>
      <c r="Z7" s="21" t="n">
        <v>0.875</v>
      </c>
      <c r="AA7" s="21" t="n">
        <v>0.888</v>
      </c>
      <c r="AB7" s="21" t="n">
        <v>0.852</v>
      </c>
      <c r="AC7" s="21" t="n">
        <v>0.851</v>
      </c>
      <c r="AD7" s="21" t="n">
        <v>0.862</v>
      </c>
      <c r="AE7" s="21" t="n">
        <v>0.863</v>
      </c>
      <c r="AF7" s="21" t="n">
        <v>0.871</v>
      </c>
      <c r="AG7" s="21" t="n">
        <v>0.897</v>
      </c>
      <c r="AH7" s="21" t="n">
        <v>0.893</v>
      </c>
      <c r="AI7" s="21" t="n">
        <v>0.858</v>
      </c>
      <c r="AJ7" s="21" t="n">
        <v>0.8070000000000001</v>
      </c>
      <c r="AK7" s="21" t="n">
        <v>0.8759999999999999</v>
      </c>
      <c r="AL7" s="21" t="n">
        <v>0.851</v>
      </c>
      <c r="AM7" s="21" t="n">
        <v>0.85</v>
      </c>
      <c r="AN7" s="21" t="n">
        <v>0.8290000000000001</v>
      </c>
    </row>
    <row r="8" ht="22" customHeight="1">
      <c r="A8" s="17" t="inlineStr">
        <is>
          <t>ASK (mln km)</t>
        </is>
      </c>
      <c r="B8" s="20" t="n">
        <v>5629</v>
      </c>
      <c r="C8" s="20" t="n">
        <v>5552</v>
      </c>
      <c r="D8" s="20" t="n">
        <v>6364</v>
      </c>
      <c r="E8" s="20" t="n">
        <v>6475</v>
      </c>
      <c r="F8" s="20" t="n">
        <v>6256</v>
      </c>
      <c r="G8" s="20" t="n">
        <v>7461</v>
      </c>
      <c r="H8" s="20" t="n">
        <v>7289</v>
      </c>
      <c r="I8" s="20" t="n">
        <v>7642</v>
      </c>
      <c r="J8" s="20" t="n">
        <v>7239</v>
      </c>
      <c r="K8" s="20" t="n">
        <v>6799</v>
      </c>
      <c r="L8" s="20" t="n">
        <v>6738</v>
      </c>
      <c r="M8" s="20" t="n">
        <v>6321</v>
      </c>
      <c r="N8" s="20" t="n">
        <v>5468</v>
      </c>
      <c r="O8" s="20" t="n">
        <v>4939</v>
      </c>
      <c r="P8" s="19" t="n"/>
      <c r="Q8" s="20" t="n">
        <v>5521</v>
      </c>
      <c r="R8" s="20" t="n">
        <v>5300</v>
      </c>
      <c r="S8" s="20" t="n">
        <v>5946</v>
      </c>
      <c r="T8" s="20" t="n">
        <v>6048</v>
      </c>
      <c r="U8" s="20" t="n">
        <v>6514</v>
      </c>
      <c r="V8" s="20" t="n">
        <v>6391</v>
      </c>
      <c r="W8" s="20" t="n">
        <v>6029</v>
      </c>
      <c r="X8" s="20" t="n">
        <v>5732</v>
      </c>
      <c r="Y8" s="20" t="n">
        <v>5150</v>
      </c>
      <c r="Z8" s="20" t="n">
        <v>4850</v>
      </c>
      <c r="AA8" s="20" t="n">
        <v>4542</v>
      </c>
      <c r="AB8" s="20" t="n">
        <v>4785</v>
      </c>
      <c r="AC8" s="20" t="n">
        <v>3071</v>
      </c>
      <c r="AD8" s="20" t="n">
        <v>2944</v>
      </c>
      <c r="AE8" s="20" t="n">
        <v>3554</v>
      </c>
      <c r="AF8" s="20" t="n">
        <v>3626</v>
      </c>
      <c r="AG8" s="20" t="n">
        <v>3857</v>
      </c>
      <c r="AH8" s="20" t="n">
        <v>3744</v>
      </c>
      <c r="AI8" s="20" t="n">
        <v>3409</v>
      </c>
      <c r="AJ8" s="20" t="n">
        <v>3035</v>
      </c>
      <c r="AK8" s="20" t="n">
        <v>3026</v>
      </c>
      <c r="AL8" s="20" t="n">
        <v>2877</v>
      </c>
      <c r="AM8" s="20" t="n">
        <v>2547</v>
      </c>
      <c r="AN8" s="20" t="n">
        <v>2865</v>
      </c>
    </row>
    <row r="9" ht="22" customHeight="1">
      <c r="A9" s="17" t="inlineStr">
        <is>
          <t>KONMA BASINA MISAFIR</t>
        </is>
      </c>
      <c r="B9" s="22" t="n">
        <v>177</v>
      </c>
      <c r="C9" s="22" t="n">
        <v>183</v>
      </c>
      <c r="D9" s="22" t="n">
        <v>183</v>
      </c>
      <c r="E9" s="22" t="n">
        <v>183</v>
      </c>
      <c r="F9" s="22" t="n">
        <v>189</v>
      </c>
      <c r="G9" s="22" t="n">
        <v>187</v>
      </c>
      <c r="H9" s="22" t="n">
        <v>188</v>
      </c>
      <c r="I9" s="22" t="n">
        <v>191</v>
      </c>
      <c r="J9" s="22" t="n">
        <v>185</v>
      </c>
      <c r="K9" s="22" t="n">
        <v>183</v>
      </c>
      <c r="L9" s="22" t="n">
        <v>181</v>
      </c>
      <c r="M9" s="22" t="n">
        <v>182</v>
      </c>
      <c r="N9" s="22" t="n">
        <v>178</v>
      </c>
      <c r="O9" s="22" t="n">
        <v>187</v>
      </c>
      <c r="P9" s="19" t="n"/>
      <c r="Q9" s="22" t="n">
        <v>179</v>
      </c>
      <c r="R9" s="22" t="n">
        <v>182</v>
      </c>
      <c r="S9" s="22" t="n">
        <v>184</v>
      </c>
      <c r="T9" s="22" t="n">
        <v>184</v>
      </c>
      <c r="U9" s="22" t="n">
        <v>188</v>
      </c>
      <c r="V9" s="22" t="n">
        <v>185</v>
      </c>
      <c r="W9" s="22" t="n">
        <v>180</v>
      </c>
      <c r="X9" s="22" t="n">
        <v>181</v>
      </c>
      <c r="Y9" s="22" t="n">
        <v>182</v>
      </c>
      <c r="Z9" s="22" t="n">
        <v>180</v>
      </c>
      <c r="AA9" s="22" t="n">
        <v>183</v>
      </c>
      <c r="AB9" s="22" t="n">
        <v>175</v>
      </c>
      <c r="AC9" s="22" t="n">
        <v>159</v>
      </c>
      <c r="AD9" s="22" t="n">
        <v>161</v>
      </c>
      <c r="AE9" s="22" t="n">
        <v>161</v>
      </c>
      <c r="AF9" s="22" t="n">
        <v>162</v>
      </c>
      <c r="AG9" s="22" t="n">
        <v>165</v>
      </c>
      <c r="AH9" s="22" t="n">
        <v>165</v>
      </c>
      <c r="AI9" s="22" t="n">
        <v>159</v>
      </c>
      <c r="AJ9" s="22" t="n">
        <v>150</v>
      </c>
      <c r="AK9" s="22" t="n">
        <v>162</v>
      </c>
      <c r="AL9" s="22" t="n">
        <v>158</v>
      </c>
      <c r="AM9" s="22" t="n">
        <v>157</v>
      </c>
      <c r="AN9" s="22" t="n">
        <v>153</v>
      </c>
    </row>
    <row r="10" ht="22" customHeight="1">
      <c r="A10" s="17" t="inlineStr">
        <is>
          <t>ORT. GUNLUK UCAK KULLANIMI (BLOK SAAT)</t>
        </is>
      </c>
      <c r="B10" s="19" t="n"/>
      <c r="C10" s="19" t="n"/>
      <c r="D10" s="19"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c r="AA10" s="19" t="n"/>
      <c r="AB10" s="19" t="n"/>
      <c r="AC10" s="23" t="n">
        <v>12</v>
      </c>
      <c r="AD10" s="23" t="n">
        <v>12</v>
      </c>
      <c r="AE10" s="23" t="n">
        <v>13.3</v>
      </c>
      <c r="AF10" s="23" t="n">
        <v>13.8</v>
      </c>
      <c r="AG10" s="23" t="n">
        <v>14.3</v>
      </c>
      <c r="AH10" s="23" t="n">
        <v>14.3</v>
      </c>
      <c r="AI10" s="23" t="n">
        <v>13.7</v>
      </c>
      <c r="AJ10" s="23" t="n">
        <v>12.5</v>
      </c>
      <c r="AK10" s="23" t="n">
        <v>12.8</v>
      </c>
      <c r="AL10" s="23" t="n">
        <v>12</v>
      </c>
      <c r="AM10" s="23" t="n">
        <v>12</v>
      </c>
      <c r="AN10" s="23" t="n">
        <v>12.1</v>
      </c>
    </row>
    <row r="11" ht="22" customHeight="1"/>
    <row r="12" ht="22" customHeight="1">
      <c r="A12" s="14" t="inlineStr">
        <is>
          <t>IC HATLAR</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row>
    <row r="13" ht="22" customHeight="1">
      <c r="A13" s="17" t="inlineStr">
        <is>
          <t>MISAFIR SAYISI (mn)</t>
        </is>
      </c>
      <c r="B13" s="18" t="n">
        <v>1.3</v>
      </c>
      <c r="C13" s="18" t="n">
        <v>1.17</v>
      </c>
      <c r="D13" s="18" t="n">
        <v>1.33</v>
      </c>
      <c r="E13" s="18" t="n">
        <v>1.36</v>
      </c>
      <c r="F13" s="18" t="n">
        <v>1.37</v>
      </c>
      <c r="G13" s="18" t="n">
        <v>1.36</v>
      </c>
      <c r="H13" s="18" t="n">
        <v>1.39</v>
      </c>
      <c r="I13" s="18" t="n">
        <v>1.53</v>
      </c>
      <c r="J13" s="18" t="n">
        <v>1.42</v>
      </c>
      <c r="K13" s="18" t="n">
        <v>1.29</v>
      </c>
      <c r="L13" s="18" t="n">
        <v>1.31</v>
      </c>
      <c r="M13" s="18" t="n">
        <v>1.22</v>
      </c>
      <c r="N13" s="18" t="n">
        <v>1.11</v>
      </c>
      <c r="O13" s="18" t="n">
        <v>0.99</v>
      </c>
      <c r="P13" s="19" t="n"/>
      <c r="Q13" s="18" t="n">
        <v>1.19</v>
      </c>
      <c r="R13" s="18" t="n">
        <v>1.18</v>
      </c>
      <c r="S13" s="18" t="n">
        <v>1.22</v>
      </c>
      <c r="T13" s="18" t="n">
        <v>1.17</v>
      </c>
      <c r="U13" s="18" t="n">
        <v>1.31</v>
      </c>
      <c r="V13" s="18" t="n">
        <v>1.29</v>
      </c>
      <c r="W13" s="18" t="n">
        <v>1.2</v>
      </c>
      <c r="X13" s="18" t="n">
        <v>1.19</v>
      </c>
      <c r="Y13" s="18" t="n">
        <v>1.13</v>
      </c>
      <c r="Z13" s="18" t="n">
        <v>1.01</v>
      </c>
      <c r="AA13" s="18" t="n">
        <v>1.09</v>
      </c>
      <c r="AB13" s="18" t="n">
        <v>1.07</v>
      </c>
      <c r="AC13" s="18" t="n">
        <v>1.31</v>
      </c>
      <c r="AD13" s="18" t="n">
        <v>1.34</v>
      </c>
      <c r="AE13" s="18" t="n">
        <v>1.33</v>
      </c>
      <c r="AF13" s="18" t="n">
        <v>1.36</v>
      </c>
      <c r="AG13" s="18" t="n">
        <v>1.39</v>
      </c>
      <c r="AH13" s="18" t="n">
        <v>1.37</v>
      </c>
      <c r="AI13" s="18" t="n">
        <v>1.3</v>
      </c>
      <c r="AJ13" s="18" t="n">
        <v>1.2</v>
      </c>
      <c r="AK13" s="18" t="n">
        <v>1.2</v>
      </c>
      <c r="AL13" s="18" t="n">
        <v>1.31</v>
      </c>
      <c r="AM13" s="18" t="n">
        <v>1.21</v>
      </c>
      <c r="AN13" s="18" t="n">
        <v>1.35</v>
      </c>
    </row>
    <row r="14" ht="22" customHeight="1">
      <c r="A14" s="17" t="inlineStr">
        <is>
          <t>KONMA</t>
        </is>
      </c>
      <c r="B14" s="20" t="n">
        <v>7021</v>
      </c>
      <c r="C14" s="20" t="n">
        <v>6146</v>
      </c>
      <c r="D14" s="20" t="n">
        <v>6886</v>
      </c>
      <c r="E14" s="20" t="n">
        <v>6977</v>
      </c>
      <c r="F14" s="20" t="n">
        <v>6887</v>
      </c>
      <c r="G14" s="20" t="n">
        <v>6925</v>
      </c>
      <c r="H14" s="20" t="n">
        <v>6921</v>
      </c>
      <c r="I14" s="20" t="n">
        <v>7406</v>
      </c>
      <c r="J14" s="20" t="n">
        <v>7003</v>
      </c>
      <c r="K14" s="20" t="n">
        <v>6460</v>
      </c>
      <c r="L14" s="20" t="n">
        <v>6693</v>
      </c>
      <c r="M14" s="20" t="n">
        <v>6212</v>
      </c>
      <c r="N14" s="20" t="n">
        <v>6088</v>
      </c>
      <c r="O14" s="20" t="n">
        <v>5125</v>
      </c>
      <c r="P14" s="19" t="n"/>
      <c r="Q14" s="20" t="n">
        <v>6465</v>
      </c>
      <c r="R14" s="20" t="n">
        <v>6190</v>
      </c>
      <c r="S14" s="20" t="n">
        <v>6373</v>
      </c>
      <c r="T14" s="20" t="n">
        <v>5979</v>
      </c>
      <c r="U14" s="20" t="n">
        <v>6582</v>
      </c>
      <c r="V14" s="20" t="n">
        <v>6480</v>
      </c>
      <c r="W14" s="20" t="n">
        <v>6288</v>
      </c>
      <c r="X14" s="20" t="n">
        <v>6327</v>
      </c>
      <c r="Y14" s="20" t="n">
        <v>6017</v>
      </c>
      <c r="Z14" s="20" t="n">
        <v>5545</v>
      </c>
      <c r="AA14" s="20" t="n">
        <v>5972</v>
      </c>
      <c r="AB14" s="20" t="n">
        <v>6057</v>
      </c>
      <c r="AC14" s="20" t="n">
        <v>8040</v>
      </c>
      <c r="AD14" s="20" t="n">
        <v>8099</v>
      </c>
      <c r="AE14" s="20" t="n">
        <v>7769</v>
      </c>
      <c r="AF14" s="20" t="n">
        <v>7855</v>
      </c>
      <c r="AG14" s="20" t="n">
        <v>8015</v>
      </c>
      <c r="AH14" s="20" t="n">
        <v>7799</v>
      </c>
      <c r="AI14" s="20" t="n">
        <v>7664</v>
      </c>
      <c r="AJ14" s="20" t="n">
        <v>7488</v>
      </c>
      <c r="AK14" s="20" t="n">
        <v>6890</v>
      </c>
      <c r="AL14" s="20" t="n">
        <v>8041</v>
      </c>
      <c r="AM14" s="20" t="n">
        <v>7337</v>
      </c>
      <c r="AN14" s="20" t="n">
        <v>8070</v>
      </c>
    </row>
    <row r="15" ht="22" customHeight="1">
      <c r="A15" s="17" t="inlineStr">
        <is>
          <t>KOLTUK SAYISI (mn)</t>
        </is>
      </c>
      <c r="B15" s="18" t="n">
        <v>1.48</v>
      </c>
      <c r="C15" s="18" t="n">
        <v>1.29</v>
      </c>
      <c r="D15" s="18" t="n">
        <v>1.44</v>
      </c>
      <c r="E15" s="18" t="n">
        <v>1.47</v>
      </c>
      <c r="F15" s="18" t="n">
        <v>1.46</v>
      </c>
      <c r="G15" s="18" t="n">
        <v>1.49</v>
      </c>
      <c r="H15" s="18" t="n">
        <v>1.51</v>
      </c>
      <c r="I15" s="18" t="n">
        <v>1.59</v>
      </c>
      <c r="J15" s="18" t="n">
        <v>1.51</v>
      </c>
      <c r="K15" s="18" t="n">
        <v>1.4</v>
      </c>
      <c r="L15" s="18" t="n">
        <v>1.45</v>
      </c>
      <c r="M15" s="18" t="n">
        <v>1.34</v>
      </c>
      <c r="N15" s="18" t="n">
        <v>1.28</v>
      </c>
      <c r="O15" s="18" t="n">
        <v>1.07</v>
      </c>
      <c r="P15" s="19" t="n"/>
      <c r="Q15" s="18" t="n">
        <v>1.34</v>
      </c>
      <c r="R15" s="18" t="n">
        <v>1.3</v>
      </c>
      <c r="S15" s="18" t="n">
        <v>1.35</v>
      </c>
      <c r="T15" s="18" t="n">
        <v>1.26</v>
      </c>
      <c r="U15" s="18" t="n">
        <v>1.38</v>
      </c>
      <c r="V15" s="18" t="n">
        <v>1.36</v>
      </c>
      <c r="W15" s="18" t="n">
        <v>1.31</v>
      </c>
      <c r="X15" s="18" t="n">
        <v>1.31</v>
      </c>
      <c r="Y15" s="18" t="n">
        <v>1.24</v>
      </c>
      <c r="Z15" s="18" t="n">
        <v>1.11</v>
      </c>
      <c r="AA15" s="18" t="n">
        <v>1.2</v>
      </c>
      <c r="AB15" s="18" t="n">
        <v>1.21</v>
      </c>
      <c r="AC15" s="18" t="n">
        <v>1.51</v>
      </c>
      <c r="AD15" s="18" t="n">
        <v>1.52</v>
      </c>
      <c r="AE15" s="18" t="n">
        <v>1.46</v>
      </c>
      <c r="AF15" s="18" t="n">
        <v>1.47</v>
      </c>
      <c r="AG15" s="18" t="n">
        <v>1.5</v>
      </c>
      <c r="AH15" s="18" t="n">
        <v>1.46</v>
      </c>
      <c r="AI15" s="18" t="n">
        <v>1.43</v>
      </c>
      <c r="AJ15" s="18" t="n">
        <v>1.4</v>
      </c>
      <c r="AK15" s="18" t="n">
        <v>1.29</v>
      </c>
      <c r="AL15" s="18" t="n">
        <v>1.5</v>
      </c>
      <c r="AM15" s="18" t="n">
        <v>1.37</v>
      </c>
      <c r="AN15" s="18" t="n">
        <v>1.51</v>
      </c>
    </row>
    <row r="16" ht="22" customHeight="1">
      <c r="A16" s="17" t="inlineStr">
        <is>
          <t>DOLULUK ORANI (%)</t>
        </is>
      </c>
      <c r="B16" s="21" t="n">
        <v>0.8809999999999999</v>
      </c>
      <c r="C16" s="21" t="n">
        <v>0.9059999999999999</v>
      </c>
      <c r="D16" s="21" t="n">
        <v>0.9229999999999999</v>
      </c>
      <c r="E16" s="21" t="n">
        <v>0.925</v>
      </c>
      <c r="F16" s="21" t="n">
        <v>0.9420000000000001</v>
      </c>
      <c r="G16" s="21" t="n">
        <v>0.912</v>
      </c>
      <c r="H16" s="21" t="n">
        <v>0.9259999999999999</v>
      </c>
      <c r="I16" s="21" t="n">
        <v>0.958</v>
      </c>
      <c r="J16" s="21" t="n">
        <v>0.9399999999999999</v>
      </c>
      <c r="K16" s="21" t="n">
        <v>0.9159999999999999</v>
      </c>
      <c r="L16" s="21" t="n">
        <v>0.903</v>
      </c>
      <c r="M16" s="21" t="n">
        <v>0.907</v>
      </c>
      <c r="N16" s="21" t="n">
        <v>0.8690000000000001</v>
      </c>
      <c r="O16" s="21" t="n">
        <v>0.9229999999999999</v>
      </c>
      <c r="P16" s="19" t="n"/>
      <c r="Q16" s="21" t="n">
        <v>0.8859999999999999</v>
      </c>
      <c r="R16" s="21" t="n">
        <v>0.912</v>
      </c>
      <c r="S16" s="21" t="n">
        <v>0.9009999999999999</v>
      </c>
      <c r="T16" s="21" t="n">
        <v>0.929</v>
      </c>
      <c r="U16" s="21" t="n">
        <v>0.9429999999999999</v>
      </c>
      <c r="V16" s="21" t="n">
        <v>0.946</v>
      </c>
      <c r="W16" s="21" t="n">
        <v>0.9179999999999999</v>
      </c>
      <c r="X16" s="21" t="n">
        <v>0.9059999999999999</v>
      </c>
      <c r="Y16" s="21" t="n">
        <v>0.914</v>
      </c>
      <c r="Z16" s="21" t="n">
        <v>0.907</v>
      </c>
      <c r="AA16" s="21" t="n">
        <v>0.91</v>
      </c>
      <c r="AB16" s="21" t="n">
        <v>0.889</v>
      </c>
      <c r="AC16" s="21" t="n">
        <v>0.866</v>
      </c>
      <c r="AD16" s="21" t="n">
        <v>0.882</v>
      </c>
      <c r="AE16" s="21" t="n">
        <v>0.9079999999999999</v>
      </c>
      <c r="AF16" s="21" t="n">
        <v>0.925</v>
      </c>
      <c r="AG16" s="21" t="n">
        <v>0.929</v>
      </c>
      <c r="AH16" s="21" t="n">
        <v>0.9399999999999999</v>
      </c>
      <c r="AI16" s="21" t="n">
        <v>0.903</v>
      </c>
      <c r="AJ16" s="21" t="n">
        <v>0.857</v>
      </c>
      <c r="AK16" s="21" t="n">
        <v>0.929</v>
      </c>
      <c r="AL16" s="21" t="n">
        <v>0.8759999999999999</v>
      </c>
      <c r="AM16" s="21" t="n">
        <v>0.882</v>
      </c>
      <c r="AN16" s="21" t="n">
        <v>0.892</v>
      </c>
    </row>
    <row r="17" ht="22" customHeight="1">
      <c r="A17" s="17" t="inlineStr">
        <is>
          <t>ASK (mln km)</t>
        </is>
      </c>
      <c r="B17" s="20" t="n">
        <v>1146</v>
      </c>
      <c r="C17" s="20" t="n">
        <v>1008</v>
      </c>
      <c r="D17" s="20" t="n">
        <v>1125</v>
      </c>
      <c r="E17" s="20" t="n">
        <v>1144</v>
      </c>
      <c r="F17" s="20" t="n">
        <v>1136</v>
      </c>
      <c r="G17" s="20" t="n">
        <v>1154</v>
      </c>
      <c r="H17" s="20" t="n">
        <v>1157</v>
      </c>
      <c r="I17" s="20" t="n">
        <v>1225</v>
      </c>
      <c r="J17" s="20" t="n">
        <v>1143</v>
      </c>
      <c r="K17" s="20" t="n">
        <v>1062</v>
      </c>
      <c r="L17" s="20" t="n">
        <v>1100</v>
      </c>
      <c r="M17" s="20" t="n">
        <v>1005</v>
      </c>
      <c r="N17" s="20" t="n">
        <v>971</v>
      </c>
      <c r="O17" s="20" t="n">
        <v>801</v>
      </c>
      <c r="P17" s="19" t="n"/>
      <c r="Q17" s="20" t="n">
        <v>1014</v>
      </c>
      <c r="R17" s="20" t="n">
        <v>974</v>
      </c>
      <c r="S17" s="20" t="n">
        <v>951</v>
      </c>
      <c r="T17" s="20" t="n">
        <v>923</v>
      </c>
      <c r="U17" s="20" t="n">
        <v>1011</v>
      </c>
      <c r="V17" s="20" t="n">
        <v>995</v>
      </c>
      <c r="W17" s="20" t="n">
        <v>963</v>
      </c>
      <c r="X17" s="20" t="n">
        <v>972</v>
      </c>
      <c r="Y17" s="20" t="n">
        <v>922</v>
      </c>
      <c r="Z17" s="20" t="n">
        <v>851</v>
      </c>
      <c r="AA17" s="20" t="n">
        <v>908</v>
      </c>
      <c r="AB17" s="20" t="n">
        <v>917</v>
      </c>
      <c r="AC17" s="20" t="n">
        <v>913</v>
      </c>
      <c r="AD17" s="20" t="n">
        <v>922</v>
      </c>
      <c r="AE17" s="20" t="n">
        <v>861</v>
      </c>
      <c r="AF17" s="20" t="n">
        <v>858</v>
      </c>
      <c r="AG17" s="20" t="n">
        <v>866</v>
      </c>
      <c r="AH17" s="20" t="n">
        <v>845</v>
      </c>
      <c r="AI17" s="20" t="n">
        <v>832</v>
      </c>
      <c r="AJ17" s="20" t="n">
        <v>815</v>
      </c>
      <c r="AK17" s="20" t="n">
        <v>762</v>
      </c>
      <c r="AL17" s="20" t="n">
        <v>919</v>
      </c>
      <c r="AM17" s="20" t="n">
        <v>837</v>
      </c>
      <c r="AN17" s="20" t="n">
        <v>926</v>
      </c>
    </row>
    <row r="18" ht="22" customHeight="1">
      <c r="A18" s="17" t="inlineStr">
        <is>
          <t>KONMA BASINA MISAFIR</t>
        </is>
      </c>
      <c r="B18" s="22" t="n">
        <v>186</v>
      </c>
      <c r="C18" s="22" t="n">
        <v>191</v>
      </c>
      <c r="D18" s="22" t="n">
        <v>193</v>
      </c>
      <c r="E18" s="22" t="n">
        <v>195</v>
      </c>
      <c r="F18" s="22" t="n">
        <v>199</v>
      </c>
      <c r="G18" s="22" t="n">
        <v>197</v>
      </c>
      <c r="H18" s="22" t="n">
        <v>201</v>
      </c>
      <c r="I18" s="22" t="n">
        <v>206</v>
      </c>
      <c r="J18" s="22" t="n">
        <v>202</v>
      </c>
      <c r="K18" s="22" t="n">
        <v>199</v>
      </c>
      <c r="L18" s="22" t="n">
        <v>196</v>
      </c>
      <c r="M18" s="22" t="n">
        <v>196</v>
      </c>
      <c r="N18" s="22" t="n">
        <v>182</v>
      </c>
      <c r="O18" s="22" t="n">
        <v>192</v>
      </c>
      <c r="P18" s="19" t="n"/>
      <c r="Q18" s="22" t="n">
        <v>184</v>
      </c>
      <c r="R18" s="22" t="n">
        <v>191</v>
      </c>
      <c r="S18" s="22" t="n">
        <v>191</v>
      </c>
      <c r="T18" s="22" t="n">
        <v>196</v>
      </c>
      <c r="U18" s="22" t="n">
        <v>198</v>
      </c>
      <c r="V18" s="22" t="n">
        <v>199</v>
      </c>
      <c r="W18" s="22" t="n">
        <v>191</v>
      </c>
      <c r="X18" s="22" t="n">
        <v>188</v>
      </c>
      <c r="Y18" s="22" t="n">
        <v>189</v>
      </c>
      <c r="Z18" s="22" t="n">
        <v>182</v>
      </c>
      <c r="AA18" s="22" t="n">
        <v>183</v>
      </c>
      <c r="AB18" s="22" t="n">
        <v>177</v>
      </c>
      <c r="AC18" s="22" t="n">
        <v>163</v>
      </c>
      <c r="AD18" s="22" t="n">
        <v>166</v>
      </c>
      <c r="AE18" s="22" t="n">
        <v>171</v>
      </c>
      <c r="AF18" s="22" t="n">
        <v>173</v>
      </c>
      <c r="AG18" s="22" t="n">
        <v>174</v>
      </c>
      <c r="AH18" s="22" t="n">
        <v>176</v>
      </c>
      <c r="AI18" s="22" t="n">
        <v>169</v>
      </c>
      <c r="AJ18" s="22" t="n">
        <v>160</v>
      </c>
      <c r="AK18" s="22" t="n">
        <v>174</v>
      </c>
      <c r="AL18" s="22" t="n">
        <v>163</v>
      </c>
      <c r="AM18" s="22" t="n">
        <v>165</v>
      </c>
      <c r="AN18" s="22" t="n">
        <v>167</v>
      </c>
    </row>
    <row r="19" ht="22" customHeight="1"/>
    <row r="20" ht="22" customHeight="1">
      <c r="A20" s="14" t="inlineStr">
        <is>
          <t>DIS HATLAR</t>
        </is>
      </c>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c r="AF20" s="15" t="n"/>
      <c r="AG20" s="15" t="n"/>
      <c r="AH20" s="15" t="n"/>
      <c r="AI20" s="15" t="n"/>
      <c r="AJ20" s="15" t="n"/>
      <c r="AK20" s="15" t="n"/>
      <c r="AL20" s="15" t="n"/>
      <c r="AM20" s="15" t="n"/>
      <c r="AN20" s="15" t="n"/>
    </row>
    <row r="21" ht="22" customHeight="1">
      <c r="A21" s="17" t="inlineStr">
        <is>
          <t>MISAFIR SAYISI (mn)</t>
        </is>
      </c>
      <c r="B21" s="18" t="n">
        <v>1.85</v>
      </c>
      <c r="C21" s="18" t="n">
        <v>1.95</v>
      </c>
      <c r="D21" s="18" t="n">
        <v>2.22</v>
      </c>
      <c r="E21" s="18" t="n">
        <v>2.26</v>
      </c>
      <c r="F21" s="18" t="n">
        <v>2.26</v>
      </c>
      <c r="G21" s="18" t="n">
        <v>2.7</v>
      </c>
      <c r="H21" s="18" t="n">
        <v>2.61</v>
      </c>
      <c r="I21" s="18" t="n">
        <v>2.77</v>
      </c>
      <c r="J21" s="18" t="n">
        <v>2.52</v>
      </c>
      <c r="K21" s="18" t="n">
        <v>2.33</v>
      </c>
      <c r="L21" s="18" t="n">
        <v>2.31</v>
      </c>
      <c r="M21" s="18" t="n">
        <v>2.23</v>
      </c>
      <c r="N21" s="18" t="n">
        <v>1.9</v>
      </c>
      <c r="O21" s="18" t="n">
        <v>1.84</v>
      </c>
      <c r="P21" s="19" t="n"/>
      <c r="Q21" s="18" t="n">
        <v>1.91</v>
      </c>
      <c r="R21" s="18" t="n">
        <v>1.86</v>
      </c>
      <c r="S21" s="18" t="n">
        <v>2.15</v>
      </c>
      <c r="T21" s="18" t="n">
        <v>2.16</v>
      </c>
      <c r="U21" s="18" t="n">
        <v>2.36</v>
      </c>
      <c r="V21" s="18" t="n">
        <v>2.26</v>
      </c>
      <c r="W21" s="18" t="n">
        <v>2.07</v>
      </c>
      <c r="X21" s="18" t="n">
        <v>1.98</v>
      </c>
      <c r="Y21" s="18" t="n">
        <v>1.79</v>
      </c>
      <c r="Z21" s="18" t="n">
        <v>1.71</v>
      </c>
      <c r="AA21" s="18" t="n">
        <v>1.58</v>
      </c>
      <c r="AB21" s="19" t="n"/>
      <c r="AC21" s="18" t="n">
        <v>1.08</v>
      </c>
      <c r="AD21" s="18" t="n">
        <v>1.03</v>
      </c>
      <c r="AE21" s="18" t="n">
        <v>1.28</v>
      </c>
      <c r="AF21" s="18" t="n">
        <v>1.3</v>
      </c>
      <c r="AG21" s="18" t="n">
        <v>1.44</v>
      </c>
      <c r="AH21" s="18" t="n">
        <v>1.38</v>
      </c>
      <c r="AI21" s="18" t="n">
        <v>1.22</v>
      </c>
      <c r="AJ21" s="18" t="n">
        <v>1.02</v>
      </c>
      <c r="AK21" s="18" t="n">
        <v>1.15</v>
      </c>
      <c r="AL21" s="18" t="n">
        <v>1.01</v>
      </c>
      <c r="AM21" s="18" t="n">
        <v>0.88</v>
      </c>
      <c r="AN21" s="18" t="n">
        <v>0.93</v>
      </c>
    </row>
    <row r="22" ht="22" customHeight="1">
      <c r="A22" s="17" t="inlineStr">
        <is>
          <t>KONMA</t>
        </is>
      </c>
      <c r="B22" s="20" t="n">
        <v>10765</v>
      </c>
      <c r="C22" s="20" t="n">
        <v>10882</v>
      </c>
      <c r="D22" s="20" t="n">
        <v>12540</v>
      </c>
      <c r="E22" s="20" t="n">
        <v>12810</v>
      </c>
      <c r="F22" s="20" t="n">
        <v>12359</v>
      </c>
      <c r="G22" s="20" t="n">
        <v>14751</v>
      </c>
      <c r="H22" s="20" t="n">
        <v>14378</v>
      </c>
      <c r="I22" s="20" t="n">
        <v>15044</v>
      </c>
      <c r="J22" s="20" t="n">
        <v>14255</v>
      </c>
      <c r="K22" s="20" t="n">
        <v>13334</v>
      </c>
      <c r="L22" s="20" t="n">
        <v>13299</v>
      </c>
      <c r="M22" s="20" t="n">
        <v>12699</v>
      </c>
      <c r="N22" s="20" t="n">
        <v>10796</v>
      </c>
      <c r="O22" s="20" t="n">
        <v>9994</v>
      </c>
      <c r="P22" s="19" t="n"/>
      <c r="Q22" s="20" t="n">
        <v>10902</v>
      </c>
      <c r="R22" s="20" t="n">
        <v>10514</v>
      </c>
      <c r="S22" s="20" t="n">
        <v>11911</v>
      </c>
      <c r="T22" s="20" t="n">
        <v>12103</v>
      </c>
      <c r="U22" s="20" t="n">
        <v>12960</v>
      </c>
      <c r="V22" s="20" t="n">
        <v>12735</v>
      </c>
      <c r="W22" s="20" t="n">
        <v>11943</v>
      </c>
      <c r="X22" s="20" t="n">
        <v>11158</v>
      </c>
      <c r="Y22" s="20" t="n">
        <v>10060</v>
      </c>
      <c r="Z22" s="20" t="n">
        <v>9620</v>
      </c>
      <c r="AA22" s="20" t="n">
        <v>8686</v>
      </c>
      <c r="AB22" s="19" t="n"/>
      <c r="AC22" s="20" t="n">
        <v>6969</v>
      </c>
      <c r="AD22" s="20" t="n">
        <v>6647</v>
      </c>
      <c r="AE22" s="20" t="n">
        <v>8436</v>
      </c>
      <c r="AF22" s="20" t="n">
        <v>8546</v>
      </c>
      <c r="AG22" s="20" t="n">
        <v>9097</v>
      </c>
      <c r="AH22" s="20" t="n">
        <v>8846</v>
      </c>
      <c r="AI22" s="20" t="n">
        <v>8117</v>
      </c>
      <c r="AJ22" s="20" t="n">
        <v>7354</v>
      </c>
      <c r="AK22" s="20" t="n">
        <v>7546</v>
      </c>
      <c r="AL22" s="20" t="n">
        <v>6653</v>
      </c>
      <c r="AM22" s="20" t="n">
        <v>5905</v>
      </c>
      <c r="AN22" s="20" t="n">
        <v>6838</v>
      </c>
    </row>
    <row r="23" ht="22" customHeight="1">
      <c r="A23" s="17" t="inlineStr">
        <is>
          <t>KOLTUK SAYISI (mn)</t>
        </is>
      </c>
      <c r="B23" s="18" t="n">
        <v>2.25</v>
      </c>
      <c r="C23" s="18" t="n">
        <v>2.28</v>
      </c>
      <c r="D23" s="18" t="n">
        <v>2.64</v>
      </c>
      <c r="E23" s="18" t="n">
        <v>2.7</v>
      </c>
      <c r="F23" s="18" t="n">
        <v>2.59</v>
      </c>
      <c r="G23" s="18" t="n">
        <v>3.09</v>
      </c>
      <c r="H23" s="18" t="n">
        <v>3.01</v>
      </c>
      <c r="I23" s="18" t="n">
        <v>3.13</v>
      </c>
      <c r="J23" s="18" t="n">
        <v>2.96</v>
      </c>
      <c r="K23" s="18" t="n">
        <v>2.77</v>
      </c>
      <c r="L23" s="18" t="n">
        <v>2.77</v>
      </c>
      <c r="M23" s="18" t="n">
        <v>2.63</v>
      </c>
      <c r="N23" s="18" t="n">
        <v>2.29</v>
      </c>
      <c r="O23" s="18" t="n">
        <v>2.11</v>
      </c>
      <c r="P23" s="19" t="n"/>
      <c r="Q23" s="18" t="n">
        <v>2.3</v>
      </c>
      <c r="R23" s="18" t="n">
        <v>2.2</v>
      </c>
      <c r="S23" s="18" t="n">
        <v>2.48</v>
      </c>
      <c r="T23" s="18" t="n">
        <v>2.52</v>
      </c>
      <c r="U23" s="18" t="n">
        <v>2.69</v>
      </c>
      <c r="V23" s="18" t="n">
        <v>2.63</v>
      </c>
      <c r="W23" s="18" t="n">
        <v>2.47</v>
      </c>
      <c r="X23" s="18" t="n">
        <v>2.3</v>
      </c>
      <c r="Y23" s="18" t="n">
        <v>2.07</v>
      </c>
      <c r="Z23" s="18" t="n">
        <v>2</v>
      </c>
      <c r="AA23" s="18" t="n">
        <v>1.81</v>
      </c>
      <c r="AB23" s="19" t="n"/>
      <c r="AC23" s="18" t="n">
        <v>1.29</v>
      </c>
      <c r="AD23" s="18" t="n">
        <v>1.23</v>
      </c>
      <c r="AE23" s="18" t="n">
        <v>1.56</v>
      </c>
      <c r="AF23" s="18" t="n">
        <v>1.58</v>
      </c>
      <c r="AG23" s="18" t="n">
        <v>1.66</v>
      </c>
      <c r="AH23" s="18" t="n">
        <v>1.62</v>
      </c>
      <c r="AI23" s="18" t="n">
        <v>1.49</v>
      </c>
      <c r="AJ23" s="18" t="n">
        <v>1.35</v>
      </c>
      <c r="AK23" s="18" t="n">
        <v>1.39</v>
      </c>
      <c r="AL23" s="18" t="n">
        <v>1.23</v>
      </c>
      <c r="AM23" s="18" t="n">
        <v>1.09</v>
      </c>
      <c r="AN23" s="18" t="n">
        <v>1.24</v>
      </c>
    </row>
    <row r="24" ht="22" customHeight="1">
      <c r="A24" s="17" t="inlineStr">
        <is>
          <t>DOLULUK ORANI (%)</t>
        </is>
      </c>
      <c r="B24" s="21" t="n">
        <v>0.821</v>
      </c>
      <c r="C24" s="21" t="n">
        <v>0.8540000000000001</v>
      </c>
      <c r="D24" s="21" t="n">
        <v>0.8420000000000001</v>
      </c>
      <c r="E24" s="21" t="n">
        <v>0.838</v>
      </c>
      <c r="F24" s="21" t="n">
        <v>0.873</v>
      </c>
      <c r="G24" s="21" t="n">
        <v>0.875</v>
      </c>
      <c r="H24" s="21" t="n">
        <v>0.867</v>
      </c>
      <c r="I24" s="21" t="n">
        <v>0.884</v>
      </c>
      <c r="J24" s="21" t="n">
        <v>0.8490000000000001</v>
      </c>
      <c r="K24" s="21" t="n">
        <v>0.841</v>
      </c>
      <c r="L24" s="21" t="n">
        <v>0.836</v>
      </c>
      <c r="M24" s="21" t="n">
        <v>0.848</v>
      </c>
      <c r="N24" s="21" t="n">
        <v>0.8290000000000001</v>
      </c>
      <c r="O24" s="21" t="n">
        <v>0.875</v>
      </c>
      <c r="P24" s="19" t="n"/>
      <c r="Q24" s="21" t="n">
        <v>0.8320000000000001</v>
      </c>
      <c r="R24" s="21" t="n">
        <v>0.845</v>
      </c>
      <c r="S24" s="21" t="n">
        <v>0.867</v>
      </c>
      <c r="T24" s="21" t="n">
        <v>0.857</v>
      </c>
      <c r="U24" s="21" t="n">
        <v>0.88</v>
      </c>
      <c r="V24" s="21" t="n">
        <v>0.86</v>
      </c>
      <c r="W24" s="21" t="n">
        <v>0.84</v>
      </c>
      <c r="X24" s="21" t="n">
        <v>0.858</v>
      </c>
      <c r="Y24" s="21" t="n">
        <v>0.8640000000000001</v>
      </c>
      <c r="Z24" s="21" t="n">
        <v>0.857</v>
      </c>
      <c r="AA24" s="21" t="n">
        <v>0.873</v>
      </c>
      <c r="AB24" s="19" t="n"/>
      <c r="AC24" s="21" t="n">
        <v>0.8340000000000001</v>
      </c>
      <c r="AD24" s="21" t="n">
        <v>0.838</v>
      </c>
      <c r="AE24" s="21" t="n">
        <v>0.8190000000000001</v>
      </c>
      <c r="AF24" s="21" t="n">
        <v>0.8240000000000001</v>
      </c>
      <c r="AG24" s="21" t="n">
        <v>0.867</v>
      </c>
      <c r="AH24" s="21" t="n">
        <v>0.851</v>
      </c>
      <c r="AI24" s="21" t="n">
        <v>0.8159999999999999</v>
      </c>
      <c r="AJ24" s="21" t="n">
        <v>0.7559999999999999</v>
      </c>
      <c r="AK24" s="21" t="n">
        <v>0.8270000000000001</v>
      </c>
      <c r="AL24" s="21" t="n">
        <v>0.82</v>
      </c>
      <c r="AM24" s="21" t="n">
        <v>0.8100000000000001</v>
      </c>
      <c r="AN24" s="21" t="n">
        <v>0.752</v>
      </c>
    </row>
    <row r="25" ht="22" customHeight="1">
      <c r="A25" s="17" t="inlineStr">
        <is>
          <t>ASK (mln km)</t>
        </is>
      </c>
      <c r="B25" s="20" t="n">
        <v>4483</v>
      </c>
      <c r="C25" s="20" t="n">
        <v>4544</v>
      </c>
      <c r="D25" s="20" t="n">
        <v>5239</v>
      </c>
      <c r="E25" s="20" t="n">
        <v>5331</v>
      </c>
      <c r="F25" s="20" t="n">
        <v>5120</v>
      </c>
      <c r="G25" s="20" t="n">
        <v>6307</v>
      </c>
      <c r="H25" s="20" t="n">
        <v>6132</v>
      </c>
      <c r="I25" s="20" t="n">
        <v>6417</v>
      </c>
      <c r="J25" s="20" t="n">
        <v>6097</v>
      </c>
      <c r="K25" s="20" t="n">
        <v>5737</v>
      </c>
      <c r="L25" s="20" t="n">
        <v>5637</v>
      </c>
      <c r="M25" s="20" t="n">
        <v>5316</v>
      </c>
      <c r="N25" s="20" t="n">
        <v>4497</v>
      </c>
      <c r="O25" s="20" t="n">
        <v>4138</v>
      </c>
      <c r="P25" s="19" t="n"/>
      <c r="Q25" s="20" t="n">
        <v>4507</v>
      </c>
      <c r="R25" s="20" t="n">
        <v>4326</v>
      </c>
      <c r="S25" s="20" t="n">
        <v>4995</v>
      </c>
      <c r="T25" s="20" t="n">
        <v>5126</v>
      </c>
      <c r="U25" s="20" t="n">
        <v>5503</v>
      </c>
      <c r="V25" s="20" t="n">
        <v>5396</v>
      </c>
      <c r="W25" s="20" t="n">
        <v>5067</v>
      </c>
      <c r="X25" s="20" t="n">
        <v>4760</v>
      </c>
      <c r="Y25" s="20" t="n">
        <v>4228</v>
      </c>
      <c r="Z25" s="20" t="n">
        <v>3998</v>
      </c>
      <c r="AA25" s="20" t="n">
        <v>3634</v>
      </c>
      <c r="AB25" s="19" t="n"/>
      <c r="AC25" s="20" t="n">
        <v>2149</v>
      </c>
      <c r="AD25" s="20" t="n">
        <v>2018</v>
      </c>
      <c r="AE25" s="20" t="n">
        <v>2583</v>
      </c>
      <c r="AF25" s="20" t="n">
        <v>2618</v>
      </c>
      <c r="AG25" s="20" t="n">
        <v>2775</v>
      </c>
      <c r="AH25" s="20" t="n">
        <v>2702</v>
      </c>
      <c r="AI25" s="20" t="n">
        <v>2436</v>
      </c>
      <c r="AJ25" s="20" t="n">
        <v>2175</v>
      </c>
      <c r="AK25" s="20" t="n">
        <v>2223</v>
      </c>
      <c r="AL25" s="20" t="n">
        <v>1948</v>
      </c>
      <c r="AM25" s="20" t="n">
        <v>1706</v>
      </c>
      <c r="AN25" s="20" t="n">
        <v>1936</v>
      </c>
    </row>
    <row r="26" ht="22" customHeight="1">
      <c r="A26" s="17" t="inlineStr">
        <is>
          <t>KONMA BASINA MISAFIR</t>
        </is>
      </c>
      <c r="B26" s="22" t="n">
        <v>172</v>
      </c>
      <c r="C26" s="22" t="n">
        <v>179</v>
      </c>
      <c r="D26" s="22" t="n">
        <v>177</v>
      </c>
      <c r="E26" s="22" t="n">
        <v>176</v>
      </c>
      <c r="F26" s="22" t="n">
        <v>183</v>
      </c>
      <c r="G26" s="22" t="n">
        <v>183</v>
      </c>
      <c r="H26" s="22" t="n">
        <v>182</v>
      </c>
      <c r="I26" s="22" t="n">
        <v>184</v>
      </c>
      <c r="J26" s="22" t="n">
        <v>176</v>
      </c>
      <c r="K26" s="22" t="n">
        <v>175</v>
      </c>
      <c r="L26" s="22" t="n">
        <v>174</v>
      </c>
      <c r="M26" s="22" t="n">
        <v>176</v>
      </c>
      <c r="N26" s="22" t="n">
        <v>176</v>
      </c>
      <c r="O26" s="22" t="n">
        <v>184</v>
      </c>
      <c r="P26" s="19" t="n"/>
      <c r="Q26" s="22" t="n">
        <v>175</v>
      </c>
      <c r="R26" s="22" t="n">
        <v>177</v>
      </c>
      <c r="S26" s="22" t="n">
        <v>180</v>
      </c>
      <c r="T26" s="22" t="n">
        <v>178</v>
      </c>
      <c r="U26" s="22" t="n">
        <v>182</v>
      </c>
      <c r="V26" s="22" t="n">
        <v>178</v>
      </c>
      <c r="W26" s="22" t="n">
        <v>173</v>
      </c>
      <c r="X26" s="22" t="n">
        <v>177</v>
      </c>
      <c r="Y26" s="22" t="n">
        <v>178</v>
      </c>
      <c r="Z26" s="22" t="n">
        <v>178</v>
      </c>
      <c r="AA26" s="22" t="n">
        <v>182</v>
      </c>
      <c r="AB26" s="19" t="n"/>
      <c r="AC26" s="22" t="n">
        <v>154</v>
      </c>
      <c r="AD26" s="22" t="n">
        <v>155</v>
      </c>
      <c r="AE26" s="22" t="n">
        <v>151</v>
      </c>
      <c r="AF26" s="22" t="n">
        <v>153</v>
      </c>
      <c r="AG26" s="22" t="n">
        <v>158</v>
      </c>
      <c r="AH26" s="22" t="n">
        <v>156</v>
      </c>
      <c r="AI26" s="22" t="n">
        <v>150</v>
      </c>
      <c r="AJ26" s="22" t="n">
        <v>139</v>
      </c>
      <c r="AK26" s="22" t="n">
        <v>152</v>
      </c>
      <c r="AL26" s="22" t="n">
        <v>151</v>
      </c>
      <c r="AM26" s="22" t="n">
        <v>149</v>
      </c>
      <c r="AN26" s="22" t="n">
        <v>136</v>
      </c>
    </row>
    <row r="27" ht="22" customHeight="1"/>
    <row r="28" ht="22" customHeight="1">
      <c r="A28" s="14" t="inlineStr">
        <is>
          <t>CHARTER</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row>
    <row r="29" ht="22" customHeight="1">
      <c r="A29" s="17" t="inlineStr">
        <is>
          <t>MISAFIR SAYISI (mn)</t>
        </is>
      </c>
      <c r="B29" s="19" t="n"/>
      <c r="C29" s="19" t="n"/>
      <c r="D29" s="19"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c r="AA29" s="19" t="n"/>
      <c r="AB29" s="19" t="n"/>
      <c r="AC29" s="18" t="n">
        <v>4</v>
      </c>
      <c r="AD29" s="18" t="n">
        <v>3</v>
      </c>
      <c r="AE29" s="18" t="n">
        <v>0.05</v>
      </c>
      <c r="AF29" s="18" t="n">
        <v>0.08</v>
      </c>
      <c r="AG29" s="18" t="n">
        <v>0.13</v>
      </c>
      <c r="AH29" s="18" t="n">
        <v>0.11</v>
      </c>
      <c r="AI29" s="18" t="n">
        <v>0.07000000000000001</v>
      </c>
      <c r="AJ29" s="18" t="n">
        <v>0.02</v>
      </c>
      <c r="AK29" s="18" t="n">
        <v>0.03</v>
      </c>
      <c r="AL29" s="18" t="n">
        <v>0.01</v>
      </c>
      <c r="AM29" s="18" t="n">
        <v>0</v>
      </c>
      <c r="AN29" s="18" t="n">
        <v>0</v>
      </c>
    </row>
    <row r="30" ht="22" customHeight="1">
      <c r="A30" s="17" t="inlineStr">
        <is>
          <t>KONMA</t>
        </is>
      </c>
      <c r="B30" s="19" t="n"/>
      <c r="C30" s="19" t="n"/>
      <c r="D30" s="19"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c r="AA30" s="19" t="n"/>
      <c r="AB30" s="19" t="n"/>
      <c r="AC30" s="20" t="n">
        <v>42</v>
      </c>
      <c r="AD30" s="20" t="n">
        <v>29</v>
      </c>
      <c r="AE30" s="20" t="n">
        <v>311</v>
      </c>
      <c r="AF30" s="20" t="n">
        <v>511</v>
      </c>
      <c r="AG30" s="20" t="n">
        <v>785</v>
      </c>
      <c r="AH30" s="20" t="n">
        <v>668</v>
      </c>
      <c r="AI30" s="20" t="n">
        <v>475</v>
      </c>
      <c r="AJ30" s="20" t="n">
        <v>156</v>
      </c>
      <c r="AK30" s="20" t="n">
        <v>195</v>
      </c>
      <c r="AL30" s="20" t="n">
        <v>70</v>
      </c>
      <c r="AM30" s="20" t="n">
        <v>23</v>
      </c>
      <c r="AN30" s="20" t="n">
        <v>21</v>
      </c>
    </row>
    <row r="31" ht="22" customHeight="1">
      <c r="A31" s="17" t="inlineStr">
        <is>
          <t>KOLTUK SAYISI (mn)</t>
        </is>
      </c>
      <c r="B31" s="19" t="n"/>
      <c r="C31" s="19" t="n"/>
      <c r="D31" s="19"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c r="AA31" s="19" t="n"/>
      <c r="AB31" s="19" t="n"/>
      <c r="AC31" s="18" t="n">
        <v>5</v>
      </c>
      <c r="AD31" s="18" t="n">
        <v>5</v>
      </c>
      <c r="AE31" s="18" t="n">
        <v>0.05</v>
      </c>
      <c r="AF31" s="18" t="n">
        <v>0.09</v>
      </c>
      <c r="AG31" s="18" t="n">
        <v>0.14</v>
      </c>
      <c r="AH31" s="18" t="n">
        <v>0.12</v>
      </c>
      <c r="AI31" s="18" t="n">
        <v>0.08</v>
      </c>
      <c r="AJ31" s="18" t="n">
        <v>0.02</v>
      </c>
      <c r="AK31" s="18" t="n">
        <v>0.03</v>
      </c>
      <c r="AL31" s="18" t="n">
        <v>0.01</v>
      </c>
      <c r="AM31" s="18" t="n">
        <v>0</v>
      </c>
      <c r="AN31" s="18" t="n">
        <v>0</v>
      </c>
    </row>
    <row r="32" ht="22" customHeight="1">
      <c r="A32" s="17" t="inlineStr">
        <is>
          <t>ASK (mln km)</t>
        </is>
      </c>
      <c r="B32" s="19" t="n"/>
      <c r="C32" s="19" t="n"/>
      <c r="D32" s="19"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c r="AA32" s="19" t="n"/>
      <c r="AB32" s="19" t="n"/>
      <c r="AC32" s="20" t="n">
        <v>9</v>
      </c>
      <c r="AD32" s="20" t="n">
        <v>5</v>
      </c>
      <c r="AE32" s="20" t="n">
        <v>109</v>
      </c>
      <c r="AF32" s="20" t="n">
        <v>150</v>
      </c>
      <c r="AG32" s="20" t="n">
        <v>215</v>
      </c>
      <c r="AH32" s="20" t="n">
        <v>197</v>
      </c>
      <c r="AI32" s="20" t="n">
        <v>141</v>
      </c>
      <c r="AJ32" s="20" t="n">
        <v>45</v>
      </c>
      <c r="AK32" s="20" t="n">
        <v>41</v>
      </c>
      <c r="AL32" s="20" t="n">
        <v>9</v>
      </c>
      <c r="AM32" s="20" t="n">
        <v>4</v>
      </c>
      <c r="AN32" s="20" t="n">
        <v>4</v>
      </c>
    </row>
    <row r="33" ht="22" customHeight="1"/>
    <row r="34" ht="22" customHeight="1"/>
    <row r="35" ht="22" customHeight="1">
      <c r="A35" s="14" t="inlineStr">
        <is>
          <t>KARBON EMISYONU</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row>
    <row r="36" ht="22" customHeight="1">
      <c r="A36" s="17" t="inlineStr">
        <is>
          <t>CO2 GRAM/RPK</t>
        </is>
      </c>
      <c r="B36" s="23" t="n">
        <v>58</v>
      </c>
      <c r="C36" s="23" t="n">
        <v>56.5</v>
      </c>
      <c r="D36" s="23" t="n">
        <v>57.2</v>
      </c>
      <c r="E36" s="19" t="n"/>
      <c r="F36" s="19" t="n"/>
      <c r="G36" s="23" t="n">
        <v>55.9</v>
      </c>
      <c r="H36" s="23" t="n">
        <v>56.4</v>
      </c>
      <c r="I36" s="23" t="n">
        <v>56.1</v>
      </c>
      <c r="J36" s="23" t="n">
        <v>58.7</v>
      </c>
      <c r="K36" s="23" t="n">
        <v>60</v>
      </c>
      <c r="L36" s="23" t="n">
        <v>62.1</v>
      </c>
      <c r="M36" s="23" t="n">
        <v>56.8</v>
      </c>
      <c r="N36" s="23" t="n">
        <v>57.5</v>
      </c>
      <c r="O36" s="23" t="n">
        <v>55.5</v>
      </c>
      <c r="P36" s="23" t="n">
        <v>2024</v>
      </c>
      <c r="Q36" s="19" t="n"/>
      <c r="R36" s="19" t="n"/>
      <c r="S36" s="19" t="n"/>
      <c r="T36" s="19" t="n"/>
      <c r="U36" s="19" t="n"/>
      <c r="V36" s="19" t="n"/>
      <c r="W36" s="19" t="n"/>
      <c r="X36" s="19" t="n"/>
      <c r="Y36" s="19" t="n"/>
      <c r="Z36" s="19" t="n"/>
      <c r="AA36" s="19" t="n"/>
      <c r="AB36" s="23" t="n">
        <v>649711708619611</v>
      </c>
      <c r="AC36" s="19" t="n"/>
      <c r="AD36" s="19" t="n"/>
      <c r="AE36" s="19" t="n"/>
      <c r="AF36" s="19" t="n"/>
      <c r="AG36" s="19" t="n"/>
      <c r="AH36" s="19" t="n"/>
      <c r="AI36" s="19" t="n"/>
      <c r="AJ36" s="19" t="n"/>
      <c r="AK36" s="19" t="n"/>
      <c r="AL36" s="19" t="n"/>
      <c r="AM36" s="19" t="n"/>
      <c r="AN36" s="19" t="n"/>
    </row>
    <row r="37" ht="22" customHeight="1"/>
    <row r="38" ht="22" customHeight="1"/>
    <row r="39" ht="22" customHeight="1"/>
    <row r="40" ht="22" customHeight="1"/>
    <row r="41" ht="22" customHeight="1"/>
    <row r="42" ht="22" customHeight="1"/>
    <row r="43" ht="22" customHeight="1"/>
    <row r="44" ht="22"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7"/>
  <sheetViews>
    <sheetView showGridLines="0" workbookViewId="0">
      <pane ySplit="3" topLeftCell="A4" activePane="bottomLeft" state="frozen"/>
      <selection pane="bottomLeft" activeCell="A1" sqref="A1"/>
    </sheetView>
  </sheetViews>
  <sheetFormatPr baseColWidth="8" defaultRowHeight="15"/>
  <cols>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c r="A1" s="9" t="inlineStr">
        <is>
          <t>PGSUS Trafik Ozeti</t>
        </is>
      </c>
    </row>
    <row r="2">
      <c r="A2" s="10" t="inlineStr">
        <is>
          <t>Son 25 aylik seyir grafikleri</t>
        </is>
      </c>
      <c r="N2" t="inlineStr">
        <is>
          <t>Donem</t>
        </is>
      </c>
      <c r="O2" t="inlineStr">
        <is>
          <t>Misafir Sayisi (mn)</t>
        </is>
      </c>
      <c r="P2" t="inlineStr">
        <is>
          <t>Konma</t>
        </is>
      </c>
      <c r="Q2" t="inlineStr">
        <is>
          <t>Koltuk Sayisi (mn)</t>
        </is>
      </c>
      <c r="R2" t="inlineStr">
        <is>
          <t>Doluluk Orani</t>
        </is>
      </c>
      <c r="S2" t="inlineStr">
        <is>
          <t>ASK (mln km)</t>
        </is>
      </c>
    </row>
    <row r="3">
      <c r="A3" t="inlineStr">
        <is>
          <t>Kaynak klasor: D:\Sai\şirketler\pgsus\yolcu verileri</t>
        </is>
      </c>
      <c r="N3" t="inlineStr">
        <is>
          <t>Mar 2024</t>
        </is>
      </c>
      <c r="O3" s="11" t="n">
        <v>2.72</v>
      </c>
      <c r="P3" s="12" t="n">
        <v>15165</v>
      </c>
      <c r="Q3" s="11" t="n">
        <v>3.11</v>
      </c>
      <c r="R3" s="13" t="n">
        <v>0.875</v>
      </c>
      <c r="S3" s="12" t="n">
        <v>4850</v>
      </c>
    </row>
    <row r="4">
      <c r="N4" t="inlineStr">
        <is>
          <t>Nis 2024</t>
        </is>
      </c>
      <c r="O4" s="11" t="n">
        <v>2.92</v>
      </c>
      <c r="P4" s="12" t="n">
        <v>16077</v>
      </c>
      <c r="Q4" s="11" t="n">
        <v>3.31</v>
      </c>
      <c r="R4" s="13" t="n">
        <v>0.883</v>
      </c>
      <c r="S4" s="12" t="n">
        <v>5150</v>
      </c>
    </row>
    <row r="5">
      <c r="N5" t="inlineStr">
        <is>
          <t>May 2024</t>
        </is>
      </c>
      <c r="O5" s="11" t="n">
        <v>3.16</v>
      </c>
      <c r="P5" s="12" t="n">
        <v>17485</v>
      </c>
      <c r="Q5" s="11" t="n">
        <v>3.62</v>
      </c>
      <c r="R5" s="13" t="n">
        <v>0.875</v>
      </c>
      <c r="S5" s="12" t="n">
        <v>5732</v>
      </c>
    </row>
    <row r="6">
      <c r="N6" t="inlineStr">
        <is>
          <t>Haz 2024</t>
        </is>
      </c>
      <c r="O6" s="11" t="n">
        <v>3.27</v>
      </c>
      <c r="P6" s="12" t="n">
        <v>18231</v>
      </c>
      <c r="Q6" s="11" t="n">
        <v>3.78</v>
      </c>
      <c r="R6" s="13" t="n">
        <v>0.867</v>
      </c>
      <c r="S6" s="12" t="n">
        <v>6029</v>
      </c>
    </row>
    <row r="7">
      <c r="N7" t="inlineStr">
        <is>
          <t>Tem 2024</t>
        </is>
      </c>
      <c r="O7" s="11" t="n">
        <v>3.55</v>
      </c>
      <c r="P7" s="12" t="n">
        <v>19215</v>
      </c>
      <c r="Q7" s="11" t="n">
        <v>3.99</v>
      </c>
      <c r="R7" s="13" t="n">
        <v>0.889</v>
      </c>
      <c r="S7" s="12" t="n">
        <v>6391</v>
      </c>
    </row>
    <row r="8">
      <c r="N8" t="inlineStr">
        <is>
          <t>Agu 2024</t>
        </is>
      </c>
      <c r="O8" s="11" t="n">
        <v>3.67</v>
      </c>
      <c r="P8" s="12" t="n">
        <v>19542</v>
      </c>
      <c r="Q8" s="11" t="n">
        <v>4.07</v>
      </c>
      <c r="R8" s="13" t="n">
        <v>0.9009999999999999</v>
      </c>
      <c r="S8" s="12" t="n">
        <v>6514</v>
      </c>
    </row>
    <row r="9">
      <c r="N9" t="inlineStr">
        <is>
          <t>Eyl 2024</t>
        </is>
      </c>
      <c r="O9" s="11" t="n">
        <v>3.33</v>
      </c>
      <c r="P9" s="12" t="n">
        <v>18082</v>
      </c>
      <c r="Q9" s="11" t="n">
        <v>3.78</v>
      </c>
      <c r="R9" s="13" t="n">
        <v>0.8809999999999999</v>
      </c>
      <c r="S9" s="12" t="n">
        <v>6048</v>
      </c>
    </row>
    <row r="10">
      <c r="N10" t="inlineStr">
        <is>
          <t>Eki 2024</t>
        </is>
      </c>
      <c r="O10" s="11" t="n">
        <v>3.37</v>
      </c>
      <c r="P10" s="12" t="n">
        <v>18284</v>
      </c>
      <c r="Q10" s="11" t="n">
        <v>3.83</v>
      </c>
      <c r="R10" s="13" t="n">
        <v>0.879</v>
      </c>
      <c r="S10" s="12" t="n">
        <v>5946</v>
      </c>
    </row>
    <row r="11">
      <c r="N11" t="inlineStr">
        <is>
          <t>Kas 2024</t>
        </is>
      </c>
      <c r="O11" s="11" t="n">
        <v>3.04</v>
      </c>
      <c r="P11" s="12" t="n">
        <v>16704</v>
      </c>
      <c r="Q11" s="11" t="n">
        <v>3.49</v>
      </c>
      <c r="R11" s="13" t="n">
        <v>0.87</v>
      </c>
      <c r="S11" s="12" t="n">
        <v>5300</v>
      </c>
    </row>
    <row r="12">
      <c r="N12" t="inlineStr">
        <is>
          <t>Ara 2024</t>
        </is>
      </c>
      <c r="O12" s="11" t="n">
        <v>3.1</v>
      </c>
      <c r="P12" s="12" t="n">
        <v>17367</v>
      </c>
      <c r="Q12" s="11" t="n">
        <v>3.64</v>
      </c>
      <c r="R12" s="13" t="n">
        <v>0.852</v>
      </c>
      <c r="S12" s="12" t="n">
        <v>5521</v>
      </c>
    </row>
    <row r="13">
      <c r="N13" t="inlineStr">
        <is>
          <t>Oca 2025</t>
        </is>
      </c>
      <c r="O13" s="11" t="n">
        <v>3.19</v>
      </c>
      <c r="P13" s="12" t="n">
        <v>17853</v>
      </c>
      <c r="Q13" s="11" t="n">
        <v>3.74</v>
      </c>
      <c r="R13" s="13" t="n">
        <v>0.853</v>
      </c>
      <c r="S13" s="12" t="n">
        <v>5710</v>
      </c>
    </row>
    <row r="14">
      <c r="N14" t="inlineStr">
        <is>
          <t>Sub 2025</t>
        </is>
      </c>
      <c r="O14" s="11" t="n">
        <v>2.83</v>
      </c>
      <c r="P14" s="12" t="n">
        <v>15119</v>
      </c>
      <c r="Q14" s="11" t="n">
        <v>3.18</v>
      </c>
      <c r="R14" s="13" t="n">
        <v>0.8909999999999999</v>
      </c>
      <c r="S14" s="12" t="n">
        <v>4939</v>
      </c>
    </row>
    <row r="15">
      <c r="N15" t="inlineStr">
        <is>
          <t>Mar 2025</t>
        </is>
      </c>
      <c r="O15" s="11" t="n">
        <v>3.01</v>
      </c>
      <c r="P15" s="12" t="n">
        <v>16884</v>
      </c>
      <c r="Q15" s="11" t="n">
        <v>3.57</v>
      </c>
      <c r="R15" s="13" t="n">
        <v>0.843</v>
      </c>
      <c r="S15" s="12" t="n">
        <v>5468</v>
      </c>
    </row>
    <row r="16">
      <c r="N16" t="inlineStr">
        <is>
          <t>Nis 2025</t>
        </is>
      </c>
      <c r="O16" s="11" t="n">
        <v>3.45</v>
      </c>
      <c r="P16" s="12" t="n">
        <v>18911</v>
      </c>
      <c r="Q16" s="11" t="n">
        <v>3.98</v>
      </c>
      <c r="R16" s="13" t="n">
        <v>0.868</v>
      </c>
      <c r="S16" s="12" t="n">
        <v>6321</v>
      </c>
    </row>
    <row r="17">
      <c r="N17" t="inlineStr">
        <is>
          <t>May 2025</t>
        </is>
      </c>
      <c r="O17" s="11" t="n">
        <v>3.62</v>
      </c>
      <c r="P17" s="12" t="n">
        <v>19992</v>
      </c>
      <c r="Q17" s="11" t="n">
        <v>4.22</v>
      </c>
      <c r="R17" s="13" t="n">
        <v>0.8590000000000001</v>
      </c>
      <c r="S17" s="12" t="n">
        <v>6738</v>
      </c>
    </row>
    <row r="18">
      <c r="N18" t="inlineStr">
        <is>
          <t>Haz 2025</t>
        </is>
      </c>
      <c r="O18" s="11" t="n">
        <v>3.61</v>
      </c>
      <c r="P18" s="12" t="n">
        <v>19794</v>
      </c>
      <c r="Q18" s="11" t="n">
        <v>4.17</v>
      </c>
      <c r="R18" s="13" t="n">
        <v>0.866</v>
      </c>
      <c r="S18" s="12" t="n">
        <v>6799</v>
      </c>
    </row>
    <row r="19">
      <c r="N19" t="inlineStr">
        <is>
          <t>Tem 2025</t>
        </is>
      </c>
      <c r="O19" s="11" t="n">
        <v>3.93</v>
      </c>
      <c r="P19" s="12" t="n">
        <v>21258</v>
      </c>
      <c r="Q19" s="11" t="n">
        <v>4.47</v>
      </c>
      <c r="R19" s="13" t="n">
        <v>0.88</v>
      </c>
      <c r="S19" s="12" t="n">
        <v>7239</v>
      </c>
    </row>
    <row r="20">
      <c r="N20" t="inlineStr">
        <is>
          <t>Agu 2025</t>
        </is>
      </c>
      <c r="O20" s="11" t="n">
        <v>4.29</v>
      </c>
      <c r="P20" s="12" t="n">
        <v>22450</v>
      </c>
      <c r="Q20" s="11" t="n">
        <v>4.72</v>
      </c>
      <c r="R20" s="13" t="n">
        <v>0.909</v>
      </c>
      <c r="S20" s="12" t="n">
        <v>7642</v>
      </c>
    </row>
    <row r="21">
      <c r="N21" t="inlineStr">
        <is>
          <t>Eyl 2025</t>
        </is>
      </c>
      <c r="O21" s="12" t="n">
        <v>4</v>
      </c>
      <c r="P21" s="12" t="n">
        <v>21299</v>
      </c>
      <c r="Q21" s="11" t="n">
        <v>4.51</v>
      </c>
      <c r="R21" s="13" t="n">
        <v>0.887</v>
      </c>
      <c r="S21" s="12" t="n">
        <v>7289</v>
      </c>
    </row>
    <row r="22">
      <c r="N22" t="inlineStr">
        <is>
          <t>Eki 2025</t>
        </is>
      </c>
      <c r="O22" s="11" t="n">
        <v>4.06</v>
      </c>
      <c r="P22" s="12" t="n">
        <v>21676</v>
      </c>
      <c r="Q22" s="11" t="n">
        <v>4.58</v>
      </c>
      <c r="R22" s="13" t="n">
        <v>0.887</v>
      </c>
      <c r="S22" s="12" t="n">
        <v>7461</v>
      </c>
    </row>
    <row r="23">
      <c r="N23" t="inlineStr">
        <is>
          <t>Kas 2025</t>
        </is>
      </c>
      <c r="O23" s="11" t="n">
        <v>3.63</v>
      </c>
      <c r="P23" s="12" t="n">
        <v>19246</v>
      </c>
      <c r="Q23" s="11" t="n">
        <v>4.05</v>
      </c>
      <c r="R23" s="13" t="n">
        <v>0.898</v>
      </c>
      <c r="S23" s="12" t="n">
        <v>6256</v>
      </c>
    </row>
    <row r="24">
      <c r="N24" t="inlineStr">
        <is>
          <t>Ara 2025</t>
        </is>
      </c>
      <c r="O24" s="11" t="n">
        <v>3.62</v>
      </c>
      <c r="P24" s="12" t="n">
        <v>19787</v>
      </c>
      <c r="Q24" s="11" t="n">
        <v>4.17</v>
      </c>
      <c r="R24" s="13" t="n">
        <v>0.8690000000000001</v>
      </c>
      <c r="S24" s="12" t="n">
        <v>6475</v>
      </c>
    </row>
    <row r="25">
      <c r="N25" t="inlineStr">
        <is>
          <t>Oca 2026</t>
        </is>
      </c>
      <c r="O25" s="11" t="n">
        <v>3.55</v>
      </c>
      <c r="P25" s="12" t="n">
        <v>19426</v>
      </c>
      <c r="Q25" s="11" t="n">
        <v>4.08</v>
      </c>
      <c r="R25" s="13" t="n">
        <v>0.871</v>
      </c>
      <c r="S25" s="12" t="n">
        <v>6364</v>
      </c>
    </row>
    <row r="26">
      <c r="N26" t="inlineStr">
        <is>
          <t>Sub 2026</t>
        </is>
      </c>
      <c r="O26" s="11" t="n">
        <v>3.12</v>
      </c>
      <c r="P26" s="12" t="n">
        <v>17028</v>
      </c>
      <c r="Q26" s="11" t="n">
        <v>3.58</v>
      </c>
      <c r="R26" s="13" t="n">
        <v>0.873</v>
      </c>
      <c r="S26" s="12" t="n">
        <v>5552</v>
      </c>
    </row>
    <row r="27">
      <c r="N27" t="inlineStr">
        <is>
          <t>Mar 2026</t>
        </is>
      </c>
      <c r="O27" s="11" t="n">
        <v>3.16</v>
      </c>
      <c r="P27" s="12" t="n">
        <v>17786</v>
      </c>
      <c r="Q27" s="11" t="n">
        <v>3.74</v>
      </c>
      <c r="R27" s="13" t="n">
        <v>0.845</v>
      </c>
      <c r="S27" s="12" t="n">
        <v>5629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39" customWidth="1" min="1" max="1"/>
    <col width="77" customWidth="1" min="2" max="2"/>
    <col width="12" customWidth="1" min="3" max="3"/>
    <col width="14" customWidth="1" min="4" max="4"/>
    <col width="12" customWidth="1" min="5" max="5"/>
    <col width="12" customWidth="1" min="6" max="6"/>
  </cols>
  <sheetData>
    <row r="1">
      <c r="A1" s="1" t="inlineStr">
        <is>
          <t>pdf_name</t>
        </is>
      </c>
      <c r="B1" s="1" t="inlineStr">
        <is>
          <t>pdf_path</t>
        </is>
      </c>
      <c r="C1" s="1" t="inlineStr">
        <is>
          <t>page_count</t>
        </is>
      </c>
      <c r="D1" s="1" t="inlineStr">
        <is>
          <t>record_count</t>
        </is>
      </c>
      <c r="E1" s="1" t="inlineStr">
        <is>
          <t>row_count</t>
        </is>
      </c>
      <c r="F1" s="1" t="inlineStr">
        <is>
          <t>sources</t>
        </is>
      </c>
    </row>
    <row r="2">
      <c r="A2" t="inlineStr">
        <is>
          <t>1249335_PGS OCAK 2024 TRAFİK.pdf</t>
        </is>
      </c>
      <c r="B2" t="inlineStr">
        <is>
          <t>D:\Sai\şirketler\PGSUS\yolcu verileri\1249335_PGS OCAK 2024 TRAFİK.pdf</t>
        </is>
      </c>
      <c r="C2" t="n">
        <v>2</v>
      </c>
      <c r="D2" t="n">
        <v>3</v>
      </c>
      <c r="E2" t="n">
        <v>32</v>
      </c>
      <c r="F2" t="inlineStr">
        <is>
          <t>table</t>
        </is>
      </c>
    </row>
    <row r="3">
      <c r="A3" t="inlineStr">
        <is>
          <t>1258207_PGS SUBAT 2024 TRAFİK.pdf</t>
        </is>
      </c>
      <c r="B3" t="inlineStr">
        <is>
          <t>D:\Sai\şirketler\PGSUS\yolcu verileri\1258207_PGS SUBAT 2024 TRAFİK.pdf</t>
        </is>
      </c>
      <c r="C3" t="n">
        <v>2</v>
      </c>
      <c r="D3" t="n">
        <v>2</v>
      </c>
      <c r="E3" t="n">
        <v>30</v>
      </c>
      <c r="F3" t="inlineStr">
        <is>
          <t>table</t>
        </is>
      </c>
    </row>
    <row r="4">
      <c r="A4" t="inlineStr">
        <is>
          <t>1272128_PGS MART 2024 TRAFİK.pdf</t>
        </is>
      </c>
      <c r="B4" t="inlineStr">
        <is>
          <t>D:\Sai\şirketler\PGSUS\yolcu verileri\1272128_PGS MART 2024 TRAFİK.pdf</t>
        </is>
      </c>
      <c r="C4" t="n">
        <v>2</v>
      </c>
      <c r="D4" t="n">
        <v>2</v>
      </c>
      <c r="E4" t="n">
        <v>30</v>
      </c>
      <c r="F4" t="inlineStr">
        <is>
          <t>table</t>
        </is>
      </c>
    </row>
    <row r="5">
      <c r="A5" t="inlineStr">
        <is>
          <t>1286279_PGSUS NISAN 2024 TRAFİK.pdf</t>
        </is>
      </c>
      <c r="B5" t="inlineStr">
        <is>
          <t>D:\Sai\şirketler\PGSUS\yolcu verileri\1286279_PGSUS NISAN 2024 TRAFİK.pdf</t>
        </is>
      </c>
      <c r="C5" t="n">
        <v>2</v>
      </c>
      <c r="D5" t="n">
        <v>2</v>
      </c>
      <c r="E5" t="n">
        <v>93</v>
      </c>
      <c r="F5" t="inlineStr">
        <is>
          <t>table</t>
        </is>
      </c>
    </row>
    <row r="6">
      <c r="A6" t="inlineStr">
        <is>
          <t>1297357_PGSUS MAYIS 2024 TRAFİK.pdf</t>
        </is>
      </c>
      <c r="B6" t="inlineStr">
        <is>
          <t>D:\Sai\şirketler\PGSUS\yolcu verileri\1297357_PGSUS MAYIS 2024 TRAFİK.pdf</t>
        </is>
      </c>
      <c r="C6" t="n">
        <v>2</v>
      </c>
      <c r="D6" t="n">
        <v>2</v>
      </c>
      <c r="E6" t="n">
        <v>91</v>
      </c>
      <c r="F6" t="inlineStr">
        <is>
          <t>table</t>
        </is>
      </c>
    </row>
    <row r="7">
      <c r="A7" t="inlineStr">
        <is>
          <t>1310544_PGSUS HAZİRAN 2024 TRAFİK.pdf</t>
        </is>
      </c>
      <c r="B7" t="inlineStr">
        <is>
          <t>D:\Sai\şirketler\PGSUS\yolcu verileri\1310544_PGSUS HAZİRAN 2024 TRAFİK.pdf</t>
        </is>
      </c>
      <c r="C7" t="n">
        <v>2</v>
      </c>
      <c r="D7" t="n">
        <v>2</v>
      </c>
      <c r="E7" t="n">
        <v>93</v>
      </c>
      <c r="F7" t="inlineStr">
        <is>
          <t>table</t>
        </is>
      </c>
    </row>
    <row r="8">
      <c r="A8" t="inlineStr">
        <is>
          <t>1324146_PGSUS TEMMUZ 2024 TRAFİK.pdf</t>
        </is>
      </c>
      <c r="B8" t="inlineStr">
        <is>
          <t>D:\Sai\şirketler\PGSUS\yolcu verileri\1324146_PGSUS TEMMUZ 2024 TRAFİK.pdf</t>
        </is>
      </c>
      <c r="C8" t="n">
        <v>2</v>
      </c>
      <c r="D8" t="n">
        <v>2</v>
      </c>
      <c r="E8" t="n">
        <v>93</v>
      </c>
      <c r="F8" t="inlineStr">
        <is>
          <t>table</t>
        </is>
      </c>
    </row>
    <row r="9">
      <c r="A9" t="inlineStr">
        <is>
          <t>1333219_PGSUS AĞUSTOS 2024 TRAFİK.pdf</t>
        </is>
      </c>
      <c r="B9" t="inlineStr">
        <is>
          <t>D:\Sai\şirketler\PGSUS\yolcu verileri\1333219_PGSUS AĞUSTOS 2024 TRAFİK.pdf</t>
        </is>
      </c>
      <c r="C9" t="n">
        <v>2</v>
      </c>
      <c r="D9" t="n">
        <v>2</v>
      </c>
      <c r="E9" t="n">
        <v>93</v>
      </c>
      <c r="F9" t="inlineStr">
        <is>
          <t>table</t>
        </is>
      </c>
    </row>
    <row r="10">
      <c r="A10" t="inlineStr">
        <is>
          <t>1346862_PGSUS EYLÜL 2024 TRAFİK.pdf</t>
        </is>
      </c>
      <c r="B10" t="inlineStr">
        <is>
          <t>D:\Sai\şirketler\PGSUS\yolcu verileri\1346862_PGSUS EYLÜL 2024 TRAFİK.pdf</t>
        </is>
      </c>
      <c r="C10" t="n">
        <v>2</v>
      </c>
      <c r="D10" t="n">
        <v>2</v>
      </c>
      <c r="E10" t="n">
        <v>89</v>
      </c>
      <c r="F10" t="inlineStr">
        <is>
          <t>table</t>
        </is>
      </c>
    </row>
    <row r="11">
      <c r="A11" t="inlineStr">
        <is>
          <t>1357723_PGSUS EKİM 2024 TRAFİK.pdf</t>
        </is>
      </c>
      <c r="B11" t="inlineStr">
        <is>
          <t>D:\Sai\şirketler\PGSUS\yolcu verileri\1357723_PGSUS EKİM 2024 TRAFİK.pdf</t>
        </is>
      </c>
      <c r="C11" t="n">
        <v>2</v>
      </c>
      <c r="D11" t="n">
        <v>2</v>
      </c>
      <c r="E11" t="n">
        <v>93</v>
      </c>
      <c r="F11" t="inlineStr">
        <is>
          <t>table</t>
        </is>
      </c>
    </row>
    <row r="12">
      <c r="A12" t="inlineStr">
        <is>
          <t>1365195_PGSUS KASIM 2024 TRAFİK.pdf</t>
        </is>
      </c>
      <c r="B12" t="inlineStr">
        <is>
          <t>D:\Sai\şirketler\PGSUS\yolcu verileri\1365195_PGSUS KASIM 2024 TRAFİK.pdf</t>
        </is>
      </c>
      <c r="C12" t="n">
        <v>2</v>
      </c>
      <c r="D12" t="n">
        <v>2</v>
      </c>
      <c r="E12" t="n">
        <v>93</v>
      </c>
      <c r="F12" t="inlineStr">
        <is>
          <t>table</t>
        </is>
      </c>
    </row>
    <row r="13">
      <c r="A13" t="inlineStr">
        <is>
          <t>1380499_PGSUS ARALIK 2024 TRAFİK.pdf</t>
        </is>
      </c>
      <c r="B13" t="inlineStr">
        <is>
          <t>D:\Sai\şirketler\PGSUS\yolcu verileri\1380499_PGSUS ARALIK 2024 TRAFİK.pdf</t>
        </is>
      </c>
      <c r="C13" t="n">
        <v>2</v>
      </c>
      <c r="D13" t="n">
        <v>2</v>
      </c>
      <c r="E13" t="n">
        <v>93</v>
      </c>
      <c r="F13" t="inlineStr">
        <is>
          <t>table</t>
        </is>
      </c>
    </row>
    <row r="14">
      <c r="A14" t="inlineStr">
        <is>
          <t>1393473_PGS OCAK 2025 TRAFİK.pdf</t>
        </is>
      </c>
      <c r="B14" t="inlineStr">
        <is>
          <t>D:\Sai\şirketler\PGSUS\yolcu verileri\1393473_PGS OCAK 2025 TRAFİK.pdf</t>
        </is>
      </c>
      <c r="C14" t="n">
        <v>2</v>
      </c>
      <c r="D14" t="n">
        <v>2</v>
      </c>
      <c r="E14" t="n">
        <v>91</v>
      </c>
      <c r="F14" t="inlineStr">
        <is>
          <t>table</t>
        </is>
      </c>
    </row>
    <row r="15">
      <c r="A15" t="inlineStr">
        <is>
          <t>1406438_PGSUS SUBAT 2025 TRAFİK.pdf</t>
        </is>
      </c>
      <c r="B15" t="inlineStr">
        <is>
          <t>D:\Sai\şirketler\PGSUS\yolcu verileri\1406438_PGSUS SUBAT 2025 TRAFİK.pdf</t>
        </is>
      </c>
      <c r="C15" t="n">
        <v>2</v>
      </c>
      <c r="D15" t="n">
        <v>2</v>
      </c>
      <c r="E15" t="n">
        <v>95</v>
      </c>
      <c r="F15" t="inlineStr">
        <is>
          <t>table</t>
        </is>
      </c>
    </row>
    <row r="16">
      <c r="A16" t="inlineStr">
        <is>
          <t>1425340_PGSUS MART 2025 TRAFİK.pdf</t>
        </is>
      </c>
      <c r="B16" t="inlineStr">
        <is>
          <t>D:\Sai\şirketler\PGSUS\yolcu verileri\1425340_PGSUS MART 2025 TRAFİK.pdf</t>
        </is>
      </c>
      <c r="C16" t="n">
        <v>2</v>
      </c>
      <c r="D16" t="n">
        <v>2</v>
      </c>
      <c r="E16" t="n">
        <v>28</v>
      </c>
      <c r="F16" t="inlineStr">
        <is>
          <t>table</t>
        </is>
      </c>
    </row>
    <row r="17">
      <c r="A17" t="inlineStr">
        <is>
          <t>1439455_PGSUS NİSAN 2025 TRAFİK.pdf</t>
        </is>
      </c>
      <c r="B17" t="inlineStr">
        <is>
          <t>D:\Sai\şirketler\PGSUS\yolcu verileri\1439455_PGSUS NİSAN 2025 TRAFİK.pdf</t>
        </is>
      </c>
      <c r="C17" t="n">
        <v>2</v>
      </c>
      <c r="D17" t="n">
        <v>2</v>
      </c>
      <c r="E17" t="n">
        <v>98</v>
      </c>
      <c r="F17" t="inlineStr">
        <is>
          <t>table</t>
        </is>
      </c>
    </row>
    <row r="18">
      <c r="A18" t="inlineStr">
        <is>
          <t>1448317_PGSUS MAYIS 2025 TRAFİK.pdf</t>
        </is>
      </c>
      <c r="B18" t="inlineStr">
        <is>
          <t>D:\Sai\şirketler\PGSUS\yolcu verileri\1448317_PGSUS MAYIS 2025 TRAFİK.pdf</t>
        </is>
      </c>
      <c r="C18" t="n">
        <v>2</v>
      </c>
      <c r="D18" t="n">
        <v>2</v>
      </c>
      <c r="E18" t="n">
        <v>93</v>
      </c>
      <c r="F18" t="inlineStr">
        <is>
          <t>table</t>
        </is>
      </c>
    </row>
    <row r="19">
      <c r="A19" t="inlineStr">
        <is>
          <t>1464093_PGSUS HAZIRAN 2025 TRAFİK.pdf</t>
        </is>
      </c>
      <c r="B19" t="inlineStr">
        <is>
          <t>D:\Sai\şirketler\PGSUS\yolcu verileri\1464093_PGSUS HAZIRAN 2025 TRAFİK.pdf</t>
        </is>
      </c>
      <c r="C19" t="n">
        <v>2</v>
      </c>
      <c r="D19" t="n">
        <v>2</v>
      </c>
      <c r="E19" t="n">
        <v>99</v>
      </c>
      <c r="F19" t="inlineStr">
        <is>
          <t>table</t>
        </is>
      </c>
    </row>
    <row r="20">
      <c r="A20" t="inlineStr">
        <is>
          <t>1480026_PGSUS TEMMUZ 2025 TRAFİK.pdf</t>
        </is>
      </c>
      <c r="B20" t="inlineStr">
        <is>
          <t>D:\Sai\şirketler\PGSUS\yolcu verileri\1480026_PGSUS TEMMUZ 2025 TRAFİK.pdf</t>
        </is>
      </c>
      <c r="C20" t="n">
        <v>2</v>
      </c>
      <c r="D20" t="n">
        <v>2</v>
      </c>
      <c r="E20" t="n">
        <v>101</v>
      </c>
      <c r="F20" t="inlineStr">
        <is>
          <t>table</t>
        </is>
      </c>
    </row>
    <row r="21">
      <c r="A21" t="inlineStr">
        <is>
          <t>1488823_PGSUS AĞUSTOS 2025 TRAFİK.pdf</t>
        </is>
      </c>
      <c r="B21" t="inlineStr">
        <is>
          <t>D:\Sai\şirketler\PGSUS\yolcu verileri\1488823_PGSUS AĞUSTOS 2025 TRAFİK.pdf</t>
        </is>
      </c>
      <c r="C21" t="n">
        <v>2</v>
      </c>
      <c r="D21" t="n">
        <v>2</v>
      </c>
      <c r="E21" t="n">
        <v>78</v>
      </c>
      <c r="F21" t="inlineStr">
        <is>
          <t>table</t>
        </is>
      </c>
    </row>
    <row r="22">
      <c r="A22" t="inlineStr">
        <is>
          <t>1503450_PGSUS EYLÜL 2025 TRAFİK.pdf</t>
        </is>
      </c>
      <c r="B22" t="inlineStr">
        <is>
          <t>D:\Sai\şirketler\PGSUS\yolcu verileri\1503450_PGSUS EYLÜL 2025 TRAFİK.pdf</t>
        </is>
      </c>
      <c r="C22" t="n">
        <v>2</v>
      </c>
      <c r="D22" t="n">
        <v>2</v>
      </c>
      <c r="E22" t="n">
        <v>103</v>
      </c>
      <c r="F22" t="inlineStr">
        <is>
          <t>table</t>
        </is>
      </c>
    </row>
    <row r="23">
      <c r="A23" t="inlineStr">
        <is>
          <t>1516276_PGSUS EKİM 2025 TRAFİK.pdf</t>
        </is>
      </c>
      <c r="B23" t="inlineStr">
        <is>
          <t>D:\Sai\şirketler\PGSUS\yolcu verileri\1516276_PGSUS EKİM 2025 TRAFİK.pdf</t>
        </is>
      </c>
      <c r="C23" t="n">
        <v>2</v>
      </c>
      <c r="D23" t="n">
        <v>2</v>
      </c>
      <c r="E23" t="n">
        <v>28</v>
      </c>
      <c r="F23" t="inlineStr">
        <is>
          <t>table</t>
        </is>
      </c>
    </row>
    <row r="24">
      <c r="A24" t="inlineStr">
        <is>
          <t>1526775_PGSUS KASIM 2025 TRAFİK.pdf</t>
        </is>
      </c>
      <c r="B24" t="inlineStr">
        <is>
          <t>D:\Sai\şirketler\PGSUS\yolcu verileri\1526775_PGSUS KASIM 2025 TRAFİK.pdf</t>
        </is>
      </c>
      <c r="C24" t="n">
        <v>2</v>
      </c>
      <c r="D24" t="n">
        <v>2</v>
      </c>
      <c r="E24" t="n">
        <v>107</v>
      </c>
      <c r="F24" t="inlineStr">
        <is>
          <t>table</t>
        </is>
      </c>
    </row>
    <row r="25">
      <c r="A25" t="inlineStr">
        <is>
          <t>1543631_PGSUS ARALIK 2025 TRAFİK.pdf</t>
        </is>
      </c>
      <c r="B25" t="inlineStr">
        <is>
          <t>D:\Sai\şirketler\PGSUS\yolcu verileri\1543631_PGSUS ARALIK 2025 TRAFİK.pdf</t>
        </is>
      </c>
      <c r="C25" t="n">
        <v>2</v>
      </c>
      <c r="D25" t="n">
        <v>3</v>
      </c>
      <c r="E25" t="n">
        <v>33</v>
      </c>
      <c r="F25" t="inlineStr">
        <is>
          <t>table</t>
        </is>
      </c>
    </row>
    <row r="26">
      <c r="A26" t="inlineStr">
        <is>
          <t>1556641_PGSUS OCAK 2026 TRAFİK.pdf</t>
        </is>
      </c>
      <c r="B26" t="inlineStr">
        <is>
          <t>D:\Sai\şirketler\PGSUS\yolcu verileri\1556641_PGSUS OCAK 2026 TRAFİK.pdf</t>
        </is>
      </c>
      <c r="C26" t="n">
        <v>2</v>
      </c>
      <c r="D26" t="n">
        <v>2</v>
      </c>
      <c r="E26" t="n">
        <v>97</v>
      </c>
      <c r="F26" t="inlineStr">
        <is>
          <t>table</t>
        </is>
      </c>
    </row>
    <row r="27">
      <c r="A27" t="inlineStr">
        <is>
          <t>1573193_PGSUS ŞUBAT 2026 TRAFİK.pdf</t>
        </is>
      </c>
      <c r="B27" t="inlineStr">
        <is>
          <t>D:\Sai\şirketler\PGSUS\yolcu verileri\1573193_PGSUS ŞUBAT 2026 TRAFİK.pdf</t>
        </is>
      </c>
      <c r="C27" t="n">
        <v>2</v>
      </c>
      <c r="D27" t="n">
        <v>2</v>
      </c>
      <c r="E27" t="n">
        <v>92</v>
      </c>
      <c r="F27" t="inlineStr">
        <is>
          <t>table</t>
        </is>
      </c>
    </row>
    <row r="28">
      <c r="A28" t="inlineStr">
        <is>
          <t>1592342_PGSUS MART 2026 TRAFİK.pdf</t>
        </is>
      </c>
      <c r="B28" t="inlineStr">
        <is>
          <t>D:\Sai\şirketler\PGSUS\yolcu verileri\1592342_PGSUS MART 2026 TRAFİK.pdf</t>
        </is>
      </c>
      <c r="C28" t="n">
        <v>2</v>
      </c>
      <c r="D28" t="n">
        <v>2</v>
      </c>
      <c r="E28" t="n">
        <v>97</v>
      </c>
      <c r="F28" t="inlineStr">
        <is>
          <t>table</t>
        </is>
      </c>
    </row>
    <row r="29">
      <c r="A29" t="inlineStr">
        <is>
          <t>740624_PGS Trafik Ocak 2019.pdf</t>
        </is>
      </c>
      <c r="B29" t="inlineStr">
        <is>
          <t>D:\Sai\şirketler\PGSUS\yolcu verileri\740624_PGS Trafik Ocak 2019.pdf</t>
        </is>
      </c>
      <c r="C29" t="n">
        <v>1</v>
      </c>
      <c r="D29" t="n">
        <v>1</v>
      </c>
      <c r="E29" t="n">
        <v>6</v>
      </c>
      <c r="F29" t="inlineStr">
        <is>
          <t>table</t>
        </is>
      </c>
    </row>
    <row r="30">
      <c r="A30" t="inlineStr">
        <is>
          <t>746678_PGS Trafik Şubat 2019.pdf</t>
        </is>
      </c>
      <c r="B30" t="inlineStr">
        <is>
          <t>D:\Sai\şirketler\PGSUS\yolcu verileri\746678_PGS Trafik Şubat 2019.pdf</t>
        </is>
      </c>
      <c r="C30" t="n">
        <v>1</v>
      </c>
      <c r="D30" t="n">
        <v>1</v>
      </c>
      <c r="E30" t="n">
        <v>6</v>
      </c>
      <c r="F30" t="inlineStr">
        <is>
          <t>table</t>
        </is>
      </c>
    </row>
    <row r="31">
      <c r="A31" t="inlineStr">
        <is>
          <t>755325_PGS Trafik Mart 2019.pdf</t>
        </is>
      </c>
      <c r="B31" t="inlineStr">
        <is>
          <t>D:\Sai\şirketler\PGSUS\yolcu verileri\755325_PGS Trafik Mart 2019.pdf</t>
        </is>
      </c>
      <c r="C31" t="n">
        <v>1</v>
      </c>
      <c r="D31" t="n">
        <v>1</v>
      </c>
      <c r="E31" t="n">
        <v>6</v>
      </c>
      <c r="F31" t="inlineStr">
        <is>
          <t>table</t>
        </is>
      </c>
    </row>
    <row r="32">
      <c r="A32" t="inlineStr">
        <is>
          <t>763753_PGS Trafik Nisan 2019.pdf</t>
        </is>
      </c>
      <c r="B32" t="inlineStr">
        <is>
          <t>D:\Sai\şirketler\PGSUS\yolcu verileri\763753_PGS Trafik Nisan 2019.pdf</t>
        </is>
      </c>
      <c r="C32" t="n">
        <v>1</v>
      </c>
      <c r="D32" t="n">
        <v>1</v>
      </c>
      <c r="E32" t="n">
        <v>6</v>
      </c>
      <c r="F32" t="inlineStr">
        <is>
          <t>table</t>
        </is>
      </c>
    </row>
    <row r="33">
      <c r="A33" t="inlineStr">
        <is>
          <t>769413_PGS Trafik Mayıs 2019.pdf</t>
        </is>
      </c>
      <c r="B33" t="inlineStr">
        <is>
          <t>D:\Sai\şirketler\PGSUS\yolcu verileri\769413_PGS Trafik Mayıs 2019.pdf</t>
        </is>
      </c>
      <c r="C33" t="n">
        <v>1</v>
      </c>
      <c r="D33" t="n">
        <v>1</v>
      </c>
      <c r="E33" t="n">
        <v>6</v>
      </c>
      <c r="F33" t="inlineStr">
        <is>
          <t>table</t>
        </is>
      </c>
    </row>
    <row r="34">
      <c r="A34" t="inlineStr">
        <is>
          <t>773700_PGS Trafik Haziran 2019.pdf</t>
        </is>
      </c>
      <c r="B34" t="inlineStr">
        <is>
          <t>D:\Sai\şirketler\PGSUS\yolcu verileri\773700_PGS Trafik Haziran 2019.pdf</t>
        </is>
      </c>
      <c r="C34" t="n">
        <v>1</v>
      </c>
      <c r="D34" t="n">
        <v>1</v>
      </c>
      <c r="E34" t="n">
        <v>6</v>
      </c>
      <c r="F34" t="inlineStr">
        <is>
          <t>table</t>
        </is>
      </c>
    </row>
    <row r="35">
      <c r="A35" t="inlineStr">
        <is>
          <t>783248_PGS TEMMUZ 2019 TRAFİK.pdf</t>
        </is>
      </c>
      <c r="B35" t="inlineStr">
        <is>
          <t>D:\Sai\şirketler\PGSUS\yolcu verileri\783248_PGS TEMMUZ 2019 TRAFİK.pdf</t>
        </is>
      </c>
      <c r="C35" t="n">
        <v>1</v>
      </c>
      <c r="D35" t="n">
        <v>1</v>
      </c>
      <c r="E35" t="n">
        <v>34</v>
      </c>
      <c r="F35" t="inlineStr">
        <is>
          <t>table</t>
        </is>
      </c>
    </row>
    <row r="36">
      <c r="A36" t="inlineStr">
        <is>
          <t>786750_PGS AĞUSTOS 2019 TRAFİK.pdf</t>
        </is>
      </c>
      <c r="B36" t="inlineStr">
        <is>
          <t>D:\Sai\şirketler\PGSUS\yolcu verileri\786750_PGS AĞUSTOS 2019 TRAFİK.pdf</t>
        </is>
      </c>
      <c r="C36" t="n">
        <v>1</v>
      </c>
      <c r="D36" t="n">
        <v>1</v>
      </c>
      <c r="E36" t="n">
        <v>34</v>
      </c>
      <c r="F36" t="inlineStr">
        <is>
          <t>table</t>
        </is>
      </c>
    </row>
    <row r="37">
      <c r="A37" t="inlineStr">
        <is>
          <t>791930_PGS EYLÜL 2019 TRAFİK.pdf</t>
        </is>
      </c>
      <c r="B37" t="inlineStr">
        <is>
          <t>D:\Sai\şirketler\PGSUS\yolcu verileri\791930_PGS EYLÜL 2019 TRAFİK.pdf</t>
        </is>
      </c>
      <c r="C37" t="n">
        <v>1</v>
      </c>
      <c r="D37" t="n">
        <v>1</v>
      </c>
      <c r="E37" t="n">
        <v>32</v>
      </c>
      <c r="F37" t="inlineStr">
        <is>
          <t>table</t>
        </is>
      </c>
    </row>
    <row r="38">
      <c r="A38" t="inlineStr">
        <is>
          <t>799559_PGS EKİM 2019 TRAFİK.pdf</t>
        </is>
      </c>
      <c r="B38" t="inlineStr">
        <is>
          <t>D:\Sai\şirketler\PGSUS\yolcu verileri\799559_PGS EKİM 2019 TRAFİK.pdf</t>
        </is>
      </c>
      <c r="C38" t="n">
        <v>1</v>
      </c>
      <c r="D38" t="n">
        <v>1</v>
      </c>
      <c r="E38" t="n">
        <v>6</v>
      </c>
      <c r="F38" t="inlineStr">
        <is>
          <t>table</t>
        </is>
      </c>
    </row>
    <row r="39">
      <c r="A39" t="inlineStr">
        <is>
          <t>802692_PGS KASIM 2019 TRAFİK.pdf</t>
        </is>
      </c>
      <c r="B39" t="inlineStr">
        <is>
          <t>D:\Sai\şirketler\PGSUS\yolcu verileri\802692_PGS KASIM 2019 TRAFİK.pdf</t>
        </is>
      </c>
      <c r="C39" t="n">
        <v>1</v>
      </c>
      <c r="D39" t="n">
        <v>1</v>
      </c>
      <c r="E39" t="n">
        <v>6</v>
      </c>
      <c r="F39" t="inlineStr">
        <is>
          <t>table</t>
        </is>
      </c>
    </row>
    <row r="40">
      <c r="A40" t="inlineStr">
        <is>
          <t>809608_PGS ARALIK 2019 TRAFİK.pdf</t>
        </is>
      </c>
      <c r="B40" t="inlineStr">
        <is>
          <t>D:\Sai\şirketler\PGSUS\yolcu verileri\809608_PGS ARALIK 2019 TRAFİK.pdf</t>
        </is>
      </c>
      <c r="C40" t="n">
        <v>1</v>
      </c>
      <c r="D40" t="n">
        <v>1</v>
      </c>
      <c r="E40" t="n">
        <v>60</v>
      </c>
      <c r="F40" t="inlineStr">
        <is>
          <t>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32" customWidth="1" min="2" max="2"/>
    <col width="19" customWidth="1" min="3" max="3"/>
  </cols>
  <sheetData>
    <row r="1">
      <c r="A1" s="2" t="inlineStr">
        <is>
          <t>AYLIK</t>
        </is>
      </c>
    </row>
    <row r="2">
      <c r="A2" s="2" t="inlineStr">
        <is>
          <t>Ocak Ocak '24/'23</t>
        </is>
      </c>
    </row>
    <row r="3">
      <c r="A3" s="3" t="inlineStr">
        <is>
          <t>2024 2023</t>
        </is>
      </c>
      <c r="B3" s="3" t="inlineStr">
        <is>
          <t>% Değ.</t>
        </is>
      </c>
    </row>
    <row r="4">
      <c r="A4" s="4" t="inlineStr">
        <is>
          <t>Toplam</t>
        </is>
      </c>
      <c r="B4" s="4" t="inlineStr">
        <is>
          <t>Misafir sayısı, mn
Konma
Koltuk sayısı, mn
Doluluk Oranı
ASK (mln km)
Konma başına Misafir</t>
        </is>
      </c>
      <c r="C4" s="4" t="inlineStr">
        <is>
          <t>2.66 2.14 24%
15,238 12,810 19%
3.12 2.54 23%
85.2% 84.5% 0.7p
4,785 3,735 28%
175 167 4%</t>
        </is>
      </c>
    </row>
    <row r="5">
      <c r="A5" s="4" t="inlineStr">
        <is>
          <t>İç Hatlar</t>
        </is>
      </c>
      <c r="B5" s="4" t="inlineStr">
        <is>
          <t>Misafir sayısı, mn
Konma
Koltuk sayısı, mn
Doluluk Oranı
ASK (mln km)
Konma başına Misafir</t>
        </is>
      </c>
      <c r="C5" s="4" t="inlineStr">
        <is>
          <t>1.07 0.89 20%
6,057 5,346 13%
1.21 1.03 17%
88.9% 86.5% 2.5p
917 787 16%
177 167 6%</t>
        </is>
      </c>
    </row>
    <row r="6">
      <c r="A6" s="4" t="inlineStr">
        <is>
          <t>Dış Hatlar*</t>
        </is>
      </c>
      <c r="B6" s="4" t="inlineStr">
        <is>
          <t>Misafir sayısı, mn
Konma
Koltuk sayısı, mn
Doluluk Oranı
ASK (mln km)
Konma başına Misafir</t>
        </is>
      </c>
      <c r="C6" s="4" t="inlineStr">
        <is>
          <t>1.59 1.25 27%
9,181 7,464 23%
1.92 1.50 28%
82.8% 83.1% -0.3p
3,868 2,948 31%
173 167 3%</t>
        </is>
      </c>
    </row>
    <row r="9">
      <c r="A9" s="4" t="inlineStr">
        <is>
          <t>Karbon Emisyonu İstatistikleri
AYLIK</t>
        </is>
      </c>
      <c r="B9" s="4" t="inlineStr">
        <is>
          <t>Eyl.'23 Eki.'23 Kas.'23 Ara.'23 Oca.'24</t>
        </is>
      </c>
    </row>
    <row r="10">
      <c r="A10" s="3" t="inlineStr">
        <is>
          <t>CO2 gram/RPK</t>
        </is>
      </c>
      <c r="B10" s="3" t="inlineStr">
        <is>
          <t>60.2 59.8 62.4 60.9 60.0</t>
        </is>
      </c>
    </row>
    <row r="11">
      <c r="A11" s="3" t="inlineStr">
        <is>
          <t>KÜMÜLATİF</t>
        </is>
      </c>
      <c r="B11" s="3" t="inlineStr">
        <is>
          <t>2019 2020 2021 2022 2023</t>
        </is>
      </c>
    </row>
    <row r="12">
      <c r="A12" s="4" t="inlineStr">
        <is>
          <t>CO2 gram/RPK</t>
        </is>
      </c>
      <c r="B12" s="5" t="n">
        <v>649711708619611</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etmem</t>
        </is>
      </c>
      <c r="G4" s="4" t="inlineStr">
        <is>
          <t>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bu</t>
        </is>
      </c>
      <c r="H19" s="4" t="inlineStr">
        <is>
          <t>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1" customWidth="1" min="1" max="1"/>
    <col width="29" customWidth="1" min="2" max="2"/>
    <col width="19" customWidth="1" min="3" max="3"/>
    <col width="19" customWidth="1" min="4" max="4"/>
  </cols>
  <sheetData>
    <row r="1">
      <c r="A1" s="4" t="inlineStr">
        <is>
          <t>AYLIK</t>
        </is>
      </c>
      <c r="B1" s="4" t="inlineStr">
        <is>
          <t>KÜMÜLATİF</t>
        </is>
      </c>
    </row>
    <row r="2">
      <c r="A2" s="3" t="inlineStr">
        <is>
          <t>Şubat Şubat '24/'23</t>
        </is>
      </c>
      <c r="B2" s="3" t="inlineStr">
        <is>
          <t>Oca.-Şub. Oca.-Şub. '24/'23</t>
        </is>
      </c>
    </row>
    <row r="3">
      <c r="A3" s="3" t="inlineStr">
        <is>
          <t>2024 2023 % Değ.</t>
        </is>
      </c>
      <c r="B3" s="3" t="inlineStr">
        <is>
          <t>2024 2023 Yıllık % Değ.</t>
        </is>
      </c>
    </row>
    <row r="4">
      <c r="A4" s="4" t="inlineStr">
        <is>
          <t>Toplam</t>
        </is>
      </c>
      <c r="B4" s="4" t="inlineStr">
        <is>
          <t>Misafir sayısı, mn
Konma
Koltuk sayısı, mn
Doluluk Oranı
ASK (mln km)
Konma başına Misafir</t>
        </is>
      </c>
      <c r="C4" s="4" t="inlineStr">
        <is>
          <t>2.68 2.00 34%
14,658 11,696 25%
3.01 2.32 30%
88.8% 85.9% 2.9p
4,542 3,392 34%
183 171 7%</t>
        </is>
      </c>
      <c r="D4" s="4" t="inlineStr">
        <is>
          <t>5.34 4.14 29%
29,896 24,506 22%
6.14 4.86 26%
87.0% 85.2% 1.8p
9,327 7,127 31%
179 169 6%</t>
        </is>
      </c>
    </row>
    <row r="6">
      <c r="A6" s="4" t="inlineStr">
        <is>
          <t>İç Hatlar</t>
        </is>
      </c>
      <c r="B6" s="4" t="inlineStr">
        <is>
          <t>Misafir sayısı, mn
Konma
Koltuk sayısı, mn
Doluluk Oranı
ASK (mln km)
Konma başına Misafir</t>
        </is>
      </c>
      <c r="C6" s="4" t="inlineStr">
        <is>
          <t>1.09 0.85 29%
5,972 5,013 19%
1.20 0.97 23%
91.0% 87.0% 4.0p
908 754 20%
183 169 8%</t>
        </is>
      </c>
      <c r="D6" s="4" t="inlineStr">
        <is>
          <t>2.17 1.74 24%
12,029 10,359 16%
2.41 2.01 20%
90.0% 86.7% 3.2p
1,824 1,541 18%
180 168 7%</t>
        </is>
      </c>
    </row>
    <row r="8">
      <c r="A8" s="4" t="inlineStr">
        <is>
          <t>Dış Hatlar*</t>
        </is>
      </c>
      <c r="B8" s="4" t="inlineStr">
        <is>
          <t>Misafir sayısı, mn
Konma
Koltuk sayısı, mn
Doluluk Oranı
ASK (mln km)
Konma başına Misafir</t>
        </is>
      </c>
      <c r="C8" s="4" t="inlineStr">
        <is>
          <t>1.58 1.15 38%
8,686 6,683 30%
1.81 1.35 34%
87.3% 85.1% 2.2p
3,634 2,637 38%
182 172 6%</t>
        </is>
      </c>
      <c r="D8" s="4" t="inlineStr">
        <is>
          <t>3.17 2.40 32%
17,867 14,147 26%
3.73 2.85 31%
85.0% 84.0% 1.0p
7,503 5,585 34%
178 169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9" customWidth="1" min="1" max="1"/>
    <col width="29" customWidth="1" min="2" max="2"/>
    <col width="19" customWidth="1" min="3" max="3"/>
    <col width="19" customWidth="1" min="4" max="4"/>
  </cols>
  <sheetData>
    <row r="1">
      <c r="A1" s="4" t="inlineStr">
        <is>
          <t>AYLIK</t>
        </is>
      </c>
      <c r="B1" s="4" t="inlineStr">
        <is>
          <t>KÜMÜLATİF</t>
        </is>
      </c>
    </row>
    <row r="2">
      <c r="A2" s="3" t="inlineStr">
        <is>
          <t>Mart Mart '24/'23</t>
        </is>
      </c>
      <c r="B2" s="3" t="inlineStr">
        <is>
          <t>Oca.-Mar. Oca.-Mar. '24/'23</t>
        </is>
      </c>
    </row>
    <row r="3">
      <c r="A3" s="3" t="inlineStr">
        <is>
          <t>2024 2023 % Değ.</t>
        </is>
      </c>
      <c r="B3" s="3" t="inlineStr">
        <is>
          <t>2024 2023 Yıllık % Değ.</t>
        </is>
      </c>
    </row>
    <row r="4">
      <c r="A4" s="4" t="inlineStr">
        <is>
          <t>Toplam</t>
        </is>
      </c>
      <c r="B4" s="4" t="inlineStr">
        <is>
          <t>Misafir sayısı, mn
Konma
Koltuk sayısı, mn
Doluluk Oranı
ASK (mln km)
Konma başına Misafir</t>
        </is>
      </c>
      <c r="C4" s="4" t="inlineStr">
        <is>
          <t>2.72 2.14 27%
15,165 12,863 18%
3.11 2.58 21%
87.5% 83.0% 4.5p
4,850 3,827 27%
180 166 8%</t>
        </is>
      </c>
      <c r="D4" s="4" t="inlineStr">
        <is>
          <t>8.06 6.27 28%
45,061 37,369 21%
9.25 7.43 24%
87.1% 84.4% 2.7p
14,177 10,954 29%
179 168 7%</t>
        </is>
      </c>
    </row>
    <row r="6">
      <c r="A6" s="4" t="inlineStr">
        <is>
          <t>İç Hatlar</t>
        </is>
      </c>
      <c r="B6" s="4" t="inlineStr">
        <is>
          <t>Misafir sayısı, mn
Konma
Koltuk sayısı, mn
Doluluk Oranı
ASK (mln km)
Konma başına Misafir</t>
        </is>
      </c>
      <c r="C6" s="4" t="inlineStr">
        <is>
          <t>1.01 0.83 22%
5,545 5,165 7%
1.11 1.00 11%
90.7% 82.9% 7.8p
851 747 14%
182 161 13%</t>
        </is>
      </c>
      <c r="D6" s="4" t="inlineStr">
        <is>
          <t>3.18 2.57 24%
17,574 15,524 13%
3.52 3.01 17%
90.2% 85.5% 4.7p
2,676 2,289 17%
181 166 9%</t>
        </is>
      </c>
    </row>
    <row r="8">
      <c r="A8" s="4" t="inlineStr">
        <is>
          <t>Dış Hatlar*</t>
        </is>
      </c>
      <c r="B8" s="4" t="inlineStr">
        <is>
          <t>Misafir sayısı, mn
Konma
Koltuk sayısı, mn
Doluluk Oranı
ASK (mln km)
Konma başına Misafir</t>
        </is>
      </c>
      <c r="C8" s="4" t="inlineStr">
        <is>
          <t>1.71 1.31 31%
9,620 7,698 25%
2.00 1.57 27%
85.7% 83.0% 2.7p
3,998 3,080 30%
178 170 5%</t>
        </is>
      </c>
      <c r="D8" s="4" t="inlineStr">
        <is>
          <t>4.88 3.70 32%
27,487 21,845 26%
5.73 4.43 29%
85.3% 83.7% 1.6p
11,501 8,665 33%
178 170 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71"/>
  <sheetViews>
    <sheetView workbookViewId="0">
      <selection activeCell="A1" sqref="A1"/>
    </sheetView>
  </sheetViews>
  <sheetFormatPr baseColWidth="8" defaultRowHeight="15"/>
  <cols>
    <col width="21" customWidth="1" min="1" max="1"/>
    <col width="12" customWidth="1" min="2" max="2"/>
    <col width="17" customWidth="1" min="3" max="3"/>
    <col width="15" customWidth="1" min="4" max="4"/>
    <col width="17" customWidth="1" min="5" max="5"/>
    <col width="20" customWidth="1" min="6" max="6"/>
    <col width="12" customWidth="1" min="7" max="7"/>
    <col width="15" customWidth="1" min="8" max="8"/>
    <col width="13" customWidth="1" min="9" max="9"/>
    <col width="13" customWidth="1" min="10" max="10"/>
    <col width="21" customWidth="1" min="11" max="11"/>
    <col width="15" customWidth="1" min="12" max="12"/>
    <col width="21" customWidth="1" min="13" max="13"/>
    <col width="12" customWidth="1" min="14" max="14"/>
    <col width="16" customWidth="1" min="15" max="15"/>
    <col width="12" customWidth="1" min="16" max="16"/>
    <col width="12" customWidth="1" min="17" max="17"/>
    <col width="16" customWidth="1" min="18" max="18"/>
    <col width="12" customWidth="1" min="19" max="19"/>
  </cols>
  <sheetData>
    <row r="1">
      <c r="A1" s="4" t="inlineStr">
        <is>
          <t>P E G A S U S</t>
        </is>
      </c>
      <c r="B1" s="4" t="inlineStr">
        <is>
          <t>H</t>
        </is>
      </c>
      <c r="C1" s="4" t="inlineStr">
        <is>
          <t>A V A T A Ş I</t>
        </is>
      </c>
      <c r="D1" s="4" t="inlineStr">
        <is>
          <t>M</t>
        </is>
      </c>
      <c r="E1" s="4" t="inlineStr">
        <is>
          <t>A C I L I Ğ</t>
        </is>
      </c>
      <c r="F1" s="4" t="inlineStr">
        <is>
          <t>I A</t>
        </is>
      </c>
      <c r="G1" s="4" t="inlineStr">
        <is>
          <t>. Ş</t>
        </is>
      </c>
      <c r="H1" s="4" t="inlineStr">
        <is>
          <t>.</t>
        </is>
      </c>
    </row>
    <row r="3">
      <c r="A3" s="4" t="inlineStr">
        <is>
          <t>N i S A N 2 0</t>
        </is>
      </c>
      <c r="B3" s="5" t="n">
        <v>24</v>
      </c>
      <c r="C3" s="4" t="inlineStr">
        <is>
          <t>T R A F İ K S</t>
        </is>
      </c>
      <c r="D3" s="4" t="inlineStr">
        <is>
          <t>O</t>
        </is>
      </c>
      <c r="E3" s="4" t="inlineStr">
        <is>
          <t>N U Ç L A</t>
        </is>
      </c>
      <c r="F3" s="4" t="inlineStr">
        <is>
          <t>R I</t>
        </is>
      </c>
    </row>
    <row r="5">
      <c r="A5" s="4" t="inlineStr">
        <is>
          <t>A Y L I K</t>
        </is>
      </c>
      <c r="B5" s="4" t="inlineStr">
        <is>
          <t>K</t>
        </is>
      </c>
      <c r="C5" s="4" t="inlineStr">
        <is>
          <t>Ü M</t>
        </is>
      </c>
      <c r="D5" s="4" t="inlineStr">
        <is>
          <t>Ü L A</t>
        </is>
      </c>
      <c r="E5" s="4" t="inlineStr">
        <is>
          <t>T İ F</t>
        </is>
      </c>
    </row>
    <row r="7">
      <c r="A7" s="4" t="inlineStr">
        <is>
          <t>N i s</t>
        </is>
      </c>
      <c r="B7" s="4" t="inlineStr">
        <is>
          <t>a n</t>
        </is>
      </c>
      <c r="C7" s="4" t="inlineStr">
        <is>
          <t>N i s a n</t>
        </is>
      </c>
      <c r="D7" s="4" t="inlineStr">
        <is>
          <t>' 2 4 /</t>
        </is>
      </c>
      <c r="E7" s="4" t="inlineStr">
        <is>
          <t>' 2 3 O c</t>
        </is>
      </c>
      <c r="F7" s="4" t="inlineStr">
        <is>
          <t>a . -</t>
        </is>
      </c>
      <c r="G7" s="4" t="inlineStr">
        <is>
          <t>N i s .</t>
        </is>
      </c>
      <c r="H7" s="4" t="inlineStr">
        <is>
          <t>O c</t>
        </is>
      </c>
      <c r="I7" s="4" t="inlineStr">
        <is>
          <t>a . - N i s</t>
        </is>
      </c>
      <c r="J7" s="4" t="inlineStr">
        <is>
          <t>. ' 2</t>
        </is>
      </c>
      <c r="K7" s="4" t="inlineStr">
        <is>
          <t>4 /</t>
        </is>
      </c>
      <c r="L7" s="4" t="inlineStr">
        <is>
          <t>' 2</t>
        </is>
      </c>
    </row>
    <row r="9">
      <c r="A9" s="4" t="inlineStr">
        <is>
          <t>2 0 2</t>
        </is>
      </c>
      <c r="B9" s="5" t="n">
        <v>4</v>
      </c>
      <c r="C9" s="5" t="n">
        <v>2023</v>
      </c>
      <c r="D9" s="4" t="inlineStr">
        <is>
          <t>% D</t>
        </is>
      </c>
      <c r="E9" s="4" t="inlineStr">
        <is>
          <t>e ğ .</t>
        </is>
      </c>
      <c r="F9" s="5" t="n">
        <v>202</v>
      </c>
      <c r="G9" s="5" t="n">
        <v>4</v>
      </c>
      <c r="H9" s="5" t="n">
        <v>2</v>
      </c>
      <c r="I9" s="5" t="n">
        <v>23</v>
      </c>
      <c r="J9" s="4" t="inlineStr">
        <is>
          <t>Y ı l l ı k</t>
        </is>
      </c>
      <c r="K9" s="4" t="inlineStr">
        <is>
          <t>%</t>
        </is>
      </c>
      <c r="L9" s="4" t="inlineStr">
        <is>
          <t>D</t>
        </is>
      </c>
    </row>
    <row r="11">
      <c r="A11" s="4" t="inlineStr">
        <is>
          <t>M i s a f i</t>
        </is>
      </c>
      <c r="B11" s="4" t="inlineStr">
        <is>
          <t>r s</t>
        </is>
      </c>
      <c r="C11" s="4" t="inlineStr">
        <is>
          <t>a y ı s ı ,</t>
        </is>
      </c>
      <c r="D11" s="4" t="inlineStr">
        <is>
          <t>m</t>
        </is>
      </c>
      <c r="E11" s="4" t="inlineStr">
        <is>
          <t>n</t>
        </is>
      </c>
      <c r="F11" s="6" t="n">
        <v>2.9</v>
      </c>
      <c r="G11" s="5" t="n">
        <v>2</v>
      </c>
      <c r="H11" s="6" t="n">
        <v>2.39</v>
      </c>
      <c r="I11" s="5" t="n">
        <v>22</v>
      </c>
      <c r="J11" s="4" t="inlineStr">
        <is>
          <t>%</t>
        </is>
      </c>
      <c r="K11" s="6" t="n">
        <v>10.9</v>
      </c>
      <c r="L11" s="5" t="n">
        <v>9</v>
      </c>
      <c r="M11" s="5" t="n">
        <v>8</v>
      </c>
      <c r="N11" s="6" t="n">
        <v>0.67</v>
      </c>
      <c r="O11" s="5" t="n">
        <v>27</v>
      </c>
      <c r="P11" s="4" t="inlineStr">
        <is>
          <t>%</t>
        </is>
      </c>
    </row>
    <row r="13">
      <c r="A13" s="4" t="inlineStr">
        <is>
          <t>K o n m</t>
        </is>
      </c>
      <c r="B13" s="4" t="inlineStr">
        <is>
          <t>a</t>
        </is>
      </c>
      <c r="C13" s="5" t="n">
        <v>16</v>
      </c>
      <c r="D13" s="5" t="n">
        <v>77</v>
      </c>
      <c r="E13" s="5" t="n">
        <v>14890</v>
      </c>
      <c r="F13" s="7" t="n">
        <v>0.08</v>
      </c>
      <c r="G13" s="5" t="n">
        <v>6</v>
      </c>
      <c r="H13" s="6" t="n">
        <v>1.1</v>
      </c>
      <c r="I13" s="5" t="n">
        <v>38</v>
      </c>
      <c r="J13" s="5" t="n">
        <v>5</v>
      </c>
      <c r="K13" s="5" t="n">
        <v>2259</v>
      </c>
      <c r="L13" s="5" t="n">
        <v>17</v>
      </c>
      <c r="M13" s="4" t="inlineStr">
        <is>
          <t>%</t>
        </is>
      </c>
    </row>
    <row r="15">
      <c r="A15" s="4" t="inlineStr">
        <is>
          <t>K o lt u k</t>
        </is>
      </c>
      <c r="B15" s="4" t="inlineStr">
        <is>
          <t>s</t>
        </is>
      </c>
      <c r="C15" s="4" t="inlineStr">
        <is>
          <t>a y ı s ı ,</t>
        </is>
      </c>
      <c r="D15" s="4" t="inlineStr">
        <is>
          <t>m n</t>
        </is>
      </c>
      <c r="E15" s="6" t="n">
        <v>3.3</v>
      </c>
      <c r="F15" s="5" t="n">
        <v>1</v>
      </c>
      <c r="G15" s="6" t="n">
        <v>2.97</v>
      </c>
      <c r="H15" s="5" t="n">
        <v>11</v>
      </c>
      <c r="I15" s="4" t="inlineStr">
        <is>
          <t>%</t>
        </is>
      </c>
      <c r="J15" s="6" t="n">
        <v>12.5</v>
      </c>
      <c r="K15" s="5" t="n">
        <v>6</v>
      </c>
      <c r="L15" s="5" t="n">
        <v>1</v>
      </c>
      <c r="M15" s="6" t="n">
        <v>0.41</v>
      </c>
      <c r="N15" s="5" t="n">
        <v>21</v>
      </c>
      <c r="O15" s="4" t="inlineStr">
        <is>
          <t>%</t>
        </is>
      </c>
    </row>
    <row r="17">
      <c r="A17" s="2" t="inlineStr">
        <is>
          <t>T o p l a m</t>
        </is>
      </c>
    </row>
    <row r="18">
      <c r="A18" s="4" t="inlineStr">
        <is>
          <t>D o l u l</t>
        </is>
      </c>
      <c r="B18" s="4" t="inlineStr">
        <is>
          <t>u k</t>
        </is>
      </c>
      <c r="C18" s="4" t="inlineStr">
        <is>
          <t>O r a n ı</t>
        </is>
      </c>
      <c r="D18" s="6" t="n">
        <v>88.3</v>
      </c>
      <c r="E18" s="4" t="inlineStr">
        <is>
          <t>%</t>
        </is>
      </c>
      <c r="F18" s="7" t="n">
        <v>0.805</v>
      </c>
      <c r="G18" s="6" t="n">
        <v>7.8</v>
      </c>
      <c r="H18" s="4" t="inlineStr">
        <is>
          <t>p 8</t>
        </is>
      </c>
      <c r="I18" s="6" t="n">
        <v>7.5</v>
      </c>
      <c r="J18" s="4" t="inlineStr">
        <is>
          <t>%</t>
        </is>
      </c>
      <c r="K18" s="5" t="n">
        <v>8</v>
      </c>
      <c r="L18" s="7" t="n">
        <v>0.033</v>
      </c>
      <c r="M18" s="6" t="n">
        <v>4.2</v>
      </c>
      <c r="N18" s="4" t="inlineStr">
        <is>
          <t>p</t>
        </is>
      </c>
    </row>
    <row r="20">
      <c r="A20" s="4" t="inlineStr">
        <is>
          <t>A S K (</t>
        </is>
      </c>
      <c r="B20" s="4" t="inlineStr">
        <is>
          <t>m l</t>
        </is>
      </c>
      <c r="C20" s="4" t="inlineStr">
        <is>
          <t>n k m )</t>
        </is>
      </c>
      <c r="D20" s="6" t="n">
        <v>5.1</v>
      </c>
      <c r="E20" s="5" t="n">
        <v>50</v>
      </c>
      <c r="F20" s="5" t="n">
        <v>4709</v>
      </c>
      <c r="G20" s="7" t="n">
        <v>0.09</v>
      </c>
      <c r="H20" s="5" t="n">
        <v>1</v>
      </c>
      <c r="I20" s="6" t="n">
        <v>9.300000000000001</v>
      </c>
      <c r="J20" s="5" t="n">
        <v>26</v>
      </c>
      <c r="K20" s="5" t="n">
        <v>1</v>
      </c>
      <c r="L20" s="5" t="n">
        <v>5663</v>
      </c>
      <c r="M20" s="5" t="n">
        <v>23</v>
      </c>
      <c r="N20" s="4" t="inlineStr">
        <is>
          <t>%</t>
        </is>
      </c>
    </row>
    <row r="22">
      <c r="A22" s="4" t="inlineStr">
        <is>
          <t>K o n m</t>
        </is>
      </c>
      <c r="B22" s="4" t="inlineStr">
        <is>
          <t>a b</t>
        </is>
      </c>
      <c r="C22" s="4" t="inlineStr">
        <is>
          <t>a ş ı n a</t>
        </is>
      </c>
      <c r="D22" s="4" t="inlineStr">
        <is>
          <t>M i</t>
        </is>
      </c>
      <c r="E22" s="4" t="inlineStr">
        <is>
          <t>s a</t>
        </is>
      </c>
      <c r="F22" s="4" t="inlineStr">
        <is>
          <t>f i r</t>
        </is>
      </c>
      <c r="G22" s="5" t="n">
        <v>18</v>
      </c>
      <c r="H22" s="5" t="n">
        <v>2</v>
      </c>
      <c r="I22" s="5" t="n">
        <v>161</v>
      </c>
      <c r="J22" s="5" t="n">
        <v>13</v>
      </c>
      <c r="K22" s="4" t="inlineStr">
        <is>
          <t>%</t>
        </is>
      </c>
      <c r="L22" s="5" t="n">
        <v>180</v>
      </c>
      <c r="M22" s="5" t="n">
        <v>166</v>
      </c>
      <c r="N22" s="7" t="n">
        <v>0.08</v>
      </c>
    </row>
    <row r="24">
      <c r="A24" s="4" t="inlineStr">
        <is>
          <t>M i s a f i</t>
        </is>
      </c>
      <c r="B24" s="4" t="inlineStr">
        <is>
          <t>r s</t>
        </is>
      </c>
      <c r="C24" s="4" t="inlineStr">
        <is>
          <t>a y ı s ı ,</t>
        </is>
      </c>
      <c r="D24" s="4" t="inlineStr">
        <is>
          <t>m</t>
        </is>
      </c>
      <c r="E24" s="4" t="inlineStr">
        <is>
          <t>n</t>
        </is>
      </c>
      <c r="F24" s="6" t="n">
        <v>1.1</v>
      </c>
      <c r="G24" s="5" t="n">
        <v>3</v>
      </c>
      <c r="H24" s="6" t="n">
        <v>0.83</v>
      </c>
      <c r="I24" s="5" t="n">
        <v>37</v>
      </c>
      <c r="J24" s="4" t="inlineStr">
        <is>
          <t>%</t>
        </is>
      </c>
      <c r="K24" s="6" t="n">
        <v>4.3</v>
      </c>
      <c r="L24" s="5" t="n">
        <v>1</v>
      </c>
      <c r="M24" s="5" t="n">
        <v>3</v>
      </c>
      <c r="N24" s="6" t="n">
        <v>0.4</v>
      </c>
      <c r="O24" s="5" t="n">
        <v>27</v>
      </c>
      <c r="P24" s="4" t="inlineStr">
        <is>
          <t>%</t>
        </is>
      </c>
    </row>
    <row r="26">
      <c r="A26" s="4" t="inlineStr">
        <is>
          <t>K o n m</t>
        </is>
      </c>
      <c r="B26" s="4" t="inlineStr">
        <is>
          <t>a</t>
        </is>
      </c>
      <c r="C26" s="5" t="n">
        <v>6</v>
      </c>
      <c r="D26" s="5" t="n">
        <v>17</v>
      </c>
      <c r="E26" s="5" t="n">
        <v>5098</v>
      </c>
      <c r="F26" s="5" t="n">
        <v>18</v>
      </c>
      <c r="G26" s="7" t="n">
        <v>0.02</v>
      </c>
      <c r="H26" s="6" t="n">
        <v>3.5</v>
      </c>
      <c r="I26" s="5" t="n">
        <v>91</v>
      </c>
      <c r="J26" s="5" t="n">
        <v>2</v>
      </c>
      <c r="K26" s="5" t="n">
        <v>622</v>
      </c>
      <c r="L26" s="5" t="n">
        <v>14</v>
      </c>
      <c r="M26" s="4" t="inlineStr">
        <is>
          <t>%</t>
        </is>
      </c>
    </row>
    <row r="28">
      <c r="A28" s="4" t="inlineStr">
        <is>
          <t>K o lt u k</t>
        </is>
      </c>
      <c r="B28" s="4" t="inlineStr">
        <is>
          <t>s</t>
        </is>
      </c>
      <c r="C28" s="4" t="inlineStr">
        <is>
          <t>a y ı s ı ,</t>
        </is>
      </c>
      <c r="D28" s="4" t="inlineStr">
        <is>
          <t>m n</t>
        </is>
      </c>
      <c r="E28" s="6" t="n">
        <v>1.2</v>
      </c>
      <c r="F28" s="5" t="n">
        <v>4</v>
      </c>
      <c r="G28" s="5" t="n">
        <v>1</v>
      </c>
      <c r="H28" s="5" t="n">
        <v>24</v>
      </c>
      <c r="I28" s="4" t="inlineStr">
        <is>
          <t>%</t>
        </is>
      </c>
      <c r="J28" s="6" t="n">
        <v>4.7</v>
      </c>
      <c r="K28" s="5" t="n">
        <v>6</v>
      </c>
      <c r="L28" s="5" t="n">
        <v>4</v>
      </c>
      <c r="M28" s="6" t="n">
        <v>0.01</v>
      </c>
      <c r="N28" s="5" t="n">
        <v>19</v>
      </c>
      <c r="O28" s="4" t="inlineStr">
        <is>
          <t>%</t>
        </is>
      </c>
    </row>
    <row r="30">
      <c r="A30" s="2" t="inlineStr">
        <is>
          <t>İ ç H a t l a r</t>
        </is>
      </c>
    </row>
    <row r="31">
      <c r="A31" s="4" t="inlineStr">
        <is>
          <t>D o l u l</t>
        </is>
      </c>
      <c r="B31" s="4" t="inlineStr">
        <is>
          <t>u k</t>
        </is>
      </c>
      <c r="C31" s="4" t="inlineStr">
        <is>
          <t>O r a n ı</t>
        </is>
      </c>
      <c r="D31" s="6" t="n">
        <v>91.40000000000001</v>
      </c>
      <c r="E31" s="4" t="inlineStr">
        <is>
          <t>%</t>
        </is>
      </c>
      <c r="F31" s="7" t="n">
        <v>0.8290000000000001</v>
      </c>
      <c r="G31" s="6" t="n">
        <v>8.5</v>
      </c>
      <c r="H31" s="4" t="inlineStr">
        <is>
          <t>p 9</t>
        </is>
      </c>
      <c r="I31" s="6" t="n">
        <v>0.5</v>
      </c>
      <c r="J31" s="4" t="inlineStr">
        <is>
          <t>%</t>
        </is>
      </c>
      <c r="K31" s="5" t="n">
        <v>8</v>
      </c>
      <c r="L31" s="7" t="n">
        <v>0.048</v>
      </c>
      <c r="M31" s="6" t="n">
        <v>5.7</v>
      </c>
      <c r="N31" s="4" t="inlineStr">
        <is>
          <t>p</t>
        </is>
      </c>
    </row>
    <row r="33">
      <c r="A33" s="4" t="inlineStr">
        <is>
          <t>A S K (</t>
        </is>
      </c>
      <c r="B33" s="4" t="inlineStr">
        <is>
          <t>m l</t>
        </is>
      </c>
      <c r="C33" s="4" t="inlineStr">
        <is>
          <t>n k m )</t>
        </is>
      </c>
      <c r="D33" s="5" t="n">
        <v>92</v>
      </c>
      <c r="E33" s="5" t="n">
        <v>2</v>
      </c>
      <c r="F33" s="5" t="n">
        <v>728</v>
      </c>
      <c r="G33" s="5" t="n">
        <v>27</v>
      </c>
      <c r="H33" s="4" t="inlineStr">
        <is>
          <t>%</t>
        </is>
      </c>
      <c r="I33" s="6" t="n">
        <v>3.59</v>
      </c>
      <c r="J33" s="5" t="n">
        <v>8</v>
      </c>
      <c r="K33" s="5" t="n">
        <v>3</v>
      </c>
      <c r="L33" s="6" t="n">
        <v>0.017</v>
      </c>
      <c r="M33" s="5" t="n">
        <v>19</v>
      </c>
      <c r="N33" s="4" t="inlineStr">
        <is>
          <t>%</t>
        </is>
      </c>
    </row>
    <row r="35">
      <c r="A35" s="4" t="inlineStr">
        <is>
          <t>K o n m</t>
        </is>
      </c>
      <c r="B35" s="4" t="inlineStr">
        <is>
          <t>a b</t>
        </is>
      </c>
      <c r="C35" s="4" t="inlineStr">
        <is>
          <t>a ş ı n a</t>
        </is>
      </c>
      <c r="D35" s="4" t="inlineStr">
        <is>
          <t>M i</t>
        </is>
      </c>
      <c r="E35" s="4" t="inlineStr">
        <is>
          <t>s a</t>
        </is>
      </c>
      <c r="F35" s="4" t="inlineStr">
        <is>
          <t>f i r</t>
        </is>
      </c>
      <c r="G35" s="5" t="n">
        <v>18</v>
      </c>
      <c r="H35" s="5" t="n">
        <v>9</v>
      </c>
      <c r="I35" s="5" t="n">
        <v>163</v>
      </c>
      <c r="J35" s="5" t="n">
        <v>16</v>
      </c>
      <c r="K35" s="4" t="inlineStr">
        <is>
          <t>%</t>
        </is>
      </c>
      <c r="L35" s="5" t="n">
        <v>183</v>
      </c>
      <c r="M35" s="5" t="n">
        <v>165</v>
      </c>
      <c r="N35" s="5" t="n">
        <v>11</v>
      </c>
      <c r="O35" s="4" t="inlineStr">
        <is>
          <t>%</t>
        </is>
      </c>
    </row>
    <row r="37">
      <c r="A37" s="4" t="inlineStr">
        <is>
          <t>M i s a f i</t>
        </is>
      </c>
      <c r="B37" s="4" t="inlineStr">
        <is>
          <t>r s</t>
        </is>
      </c>
      <c r="C37" s="4" t="inlineStr">
        <is>
          <t>a y ı s ı ,</t>
        </is>
      </c>
      <c r="D37" s="4" t="inlineStr">
        <is>
          <t>m</t>
        </is>
      </c>
      <c r="E37" s="4" t="inlineStr">
        <is>
          <t>n</t>
        </is>
      </c>
      <c r="F37" s="6" t="n">
        <v>1.7</v>
      </c>
      <c r="G37" s="5" t="n">
        <v>9</v>
      </c>
      <c r="H37" s="6" t="n">
        <v>1.56</v>
      </c>
      <c r="I37" s="5" t="n">
        <v>14</v>
      </c>
      <c r="J37" s="4" t="inlineStr">
        <is>
          <t>%</t>
        </is>
      </c>
      <c r="K37" s="6" t="n">
        <v>6.6</v>
      </c>
      <c r="L37" s="5" t="n">
        <v>7</v>
      </c>
      <c r="M37" s="5" t="n">
        <v>5</v>
      </c>
      <c r="N37" s="6" t="n">
        <v>0.27</v>
      </c>
      <c r="O37" s="5" t="n">
        <v>27</v>
      </c>
      <c r="P37" s="4" t="inlineStr">
        <is>
          <t>%</t>
        </is>
      </c>
    </row>
    <row r="39">
      <c r="A39" s="4" t="inlineStr">
        <is>
          <t>K o n m</t>
        </is>
      </c>
      <c r="B39" s="4" t="inlineStr">
        <is>
          <t>a</t>
        </is>
      </c>
      <c r="C39" s="5" t="n">
        <v>10</v>
      </c>
      <c r="D39" s="5" t="n">
        <v>60</v>
      </c>
      <c r="E39" s="5" t="n">
        <v>9792</v>
      </c>
      <c r="F39" s="7" t="n">
        <v>0.03</v>
      </c>
      <c r="G39" s="5" t="n">
        <v>3</v>
      </c>
      <c r="H39" s="6" t="n">
        <v>7.5</v>
      </c>
      <c r="I39" s="5" t="n">
        <v>47</v>
      </c>
      <c r="J39" s="5" t="n">
        <v>3</v>
      </c>
      <c r="K39" s="5" t="n">
        <v>1637</v>
      </c>
      <c r="L39" s="5" t="n">
        <v>19</v>
      </c>
      <c r="M39" s="4" t="inlineStr">
        <is>
          <t>%</t>
        </is>
      </c>
    </row>
    <row r="41">
      <c r="A41" s="4" t="inlineStr">
        <is>
          <t>K o lt u k</t>
        </is>
      </c>
      <c r="B41" s="4" t="inlineStr">
        <is>
          <t>s</t>
        </is>
      </c>
      <c r="C41" s="4" t="inlineStr">
        <is>
          <t>a y ı s ı ,</t>
        </is>
      </c>
      <c r="D41" s="4" t="inlineStr">
        <is>
          <t>m n</t>
        </is>
      </c>
      <c r="E41" s="5" t="n">
        <v>2</v>
      </c>
      <c r="F41" s="5" t="n">
        <v>7</v>
      </c>
      <c r="G41" s="6" t="n">
        <v>1.97</v>
      </c>
      <c r="H41" s="7" t="n">
        <v>0.05</v>
      </c>
      <c r="I41" s="6" t="n">
        <v>7.8</v>
      </c>
      <c r="J41" s="5" t="n">
        <v>0</v>
      </c>
      <c r="K41" s="5" t="n">
        <v>6</v>
      </c>
      <c r="L41" s="6" t="n">
        <v>0.4</v>
      </c>
      <c r="M41" s="5" t="n">
        <v>22</v>
      </c>
      <c r="N41" s="4" t="inlineStr">
        <is>
          <t>%</t>
        </is>
      </c>
    </row>
    <row r="43">
      <c r="A43" s="4" t="inlineStr">
        <is>
          <t>D ı ş H a t l a</t>
        </is>
      </c>
      <c r="B43" s="4" t="inlineStr">
        <is>
          <t>r *</t>
        </is>
      </c>
    </row>
    <row r="44">
      <c r="A44" s="4" t="inlineStr">
        <is>
          <t>D o l u l</t>
        </is>
      </c>
      <c r="B44" s="4" t="inlineStr">
        <is>
          <t>u k</t>
        </is>
      </c>
      <c r="C44" s="4" t="inlineStr">
        <is>
          <t>O r a n ı</t>
        </is>
      </c>
      <c r="D44" s="6" t="n">
        <v>86.40000000000001</v>
      </c>
      <c r="E44" s="4" t="inlineStr">
        <is>
          <t>%</t>
        </is>
      </c>
      <c r="F44" s="7" t="n">
        <v>0.7929999999999999</v>
      </c>
      <c r="G44" s="6" t="n">
        <v>7.1</v>
      </c>
      <c r="H44" s="4" t="inlineStr">
        <is>
          <t>p 8</t>
        </is>
      </c>
      <c r="I44" s="6" t="n">
        <v>5.6</v>
      </c>
      <c r="J44" s="4" t="inlineStr">
        <is>
          <t>%</t>
        </is>
      </c>
      <c r="K44" s="5" t="n">
        <v>8</v>
      </c>
      <c r="L44" s="7" t="n">
        <v>0.023</v>
      </c>
      <c r="M44" s="6" t="n">
        <v>3.3</v>
      </c>
      <c r="N44" s="4" t="inlineStr">
        <is>
          <t>p</t>
        </is>
      </c>
    </row>
    <row r="46">
      <c r="A46" s="4" t="inlineStr">
        <is>
          <t>A S K (</t>
        </is>
      </c>
      <c r="B46" s="4" t="inlineStr">
        <is>
          <t>m l</t>
        </is>
      </c>
      <c r="C46" s="4" t="inlineStr">
        <is>
          <t>n k m )</t>
        </is>
      </c>
      <c r="D46" s="6" t="n">
        <v>4.2</v>
      </c>
      <c r="E46" s="5" t="n">
        <v>28</v>
      </c>
      <c r="F46" s="5" t="n">
        <v>3981</v>
      </c>
      <c r="G46" s="7" t="n">
        <v>0.06</v>
      </c>
      <c r="H46" s="5" t="n">
        <v>1</v>
      </c>
      <c r="I46" s="6" t="n">
        <v>5.7</v>
      </c>
      <c r="J46" s="5" t="n">
        <v>29</v>
      </c>
      <c r="K46" s="5" t="n">
        <v>1</v>
      </c>
      <c r="L46" s="5" t="n">
        <v>2646</v>
      </c>
      <c r="M46" s="5" t="n">
        <v>24</v>
      </c>
      <c r="N46" s="4" t="inlineStr">
        <is>
          <t>%</t>
        </is>
      </c>
    </row>
    <row r="48">
      <c r="A48" s="4" t="inlineStr">
        <is>
          <t>K o n m</t>
        </is>
      </c>
      <c r="B48" s="4" t="inlineStr">
        <is>
          <t>a b</t>
        </is>
      </c>
      <c r="C48" s="4" t="inlineStr">
        <is>
          <t>a ş ı n a</t>
        </is>
      </c>
      <c r="D48" s="4" t="inlineStr">
        <is>
          <t>M i</t>
        </is>
      </c>
      <c r="E48" s="4" t="inlineStr">
        <is>
          <t>s a</t>
        </is>
      </c>
      <c r="F48" s="4" t="inlineStr">
        <is>
          <t>f i r</t>
        </is>
      </c>
      <c r="G48" s="5" t="n">
        <v>17</v>
      </c>
      <c r="H48" s="5" t="n">
        <v>8</v>
      </c>
      <c r="I48" s="5" t="n">
        <v>160</v>
      </c>
      <c r="J48" s="5" t="n">
        <v>11</v>
      </c>
      <c r="K48" s="4" t="inlineStr">
        <is>
          <t>%</t>
        </is>
      </c>
      <c r="L48" s="5" t="n">
        <v>178</v>
      </c>
      <c r="M48" s="5" t="n">
        <v>166</v>
      </c>
      <c r="N48" s="7" t="n">
        <v>0.07000000000000001</v>
      </c>
    </row>
    <row r="50">
      <c r="A50" s="4" t="inlineStr">
        <is>
          <t>* C h a r t e r d a</t>
        </is>
      </c>
      <c r="B50" s="4" t="inlineStr">
        <is>
          <t>h il</t>
        </is>
      </c>
    </row>
    <row r="52">
      <c r="A52" s="4" t="inlineStr">
        <is>
          <t>K a r b o n E</t>
        </is>
      </c>
      <c r="B52" s="4" t="inlineStr">
        <is>
          <t>m</t>
        </is>
      </c>
      <c r="C52" s="4" t="inlineStr">
        <is>
          <t>i s y o n u İ s</t>
        </is>
      </c>
      <c r="D52" s="4" t="inlineStr">
        <is>
          <t>t a</t>
        </is>
      </c>
      <c r="E52" s="4" t="inlineStr">
        <is>
          <t>t i s t i k l e</t>
        </is>
      </c>
      <c r="F52" s="4" t="inlineStr">
        <is>
          <t>r i</t>
        </is>
      </c>
    </row>
    <row r="54">
      <c r="A54" s="4" t="inlineStr">
        <is>
          <t>A Y L I K</t>
        </is>
      </c>
      <c r="B54" s="4" t="inlineStr">
        <is>
          <t>K a s .</t>
        </is>
      </c>
      <c r="C54" s="4" t="inlineStr">
        <is>
          <t>' 2 3</t>
        </is>
      </c>
      <c r="D54" s="4" t="inlineStr">
        <is>
          <t>A r a . ' 2 3</t>
        </is>
      </c>
      <c r="E54" s="4" t="inlineStr">
        <is>
          <t>O c a .</t>
        </is>
      </c>
      <c r="F54" s="4" t="inlineStr">
        <is>
          <t>' 2 4 Ş u</t>
        </is>
      </c>
      <c r="G54" s="4" t="inlineStr">
        <is>
          <t>b . '</t>
        </is>
      </c>
      <c r="H54" s="5" t="n">
        <v>24</v>
      </c>
      <c r="I54" s="4" t="inlineStr">
        <is>
          <t>M</t>
        </is>
      </c>
      <c r="J54" s="4" t="inlineStr">
        <is>
          <t>a r . ' 2 4</t>
        </is>
      </c>
      <c r="K54" s="4" t="inlineStr">
        <is>
          <t>N</t>
        </is>
      </c>
      <c r="L54" s="4" t="inlineStr">
        <is>
          <t>i s . '</t>
        </is>
      </c>
      <c r="M54" s="5" t="n">
        <v>2</v>
      </c>
    </row>
    <row r="56">
      <c r="A56" s="4" t="inlineStr">
        <is>
          <t>C O 2 g r a m</t>
        </is>
      </c>
      <c r="B56" s="4" t="inlineStr">
        <is>
          <t>/ R</t>
        </is>
      </c>
      <c r="C56" s="4" t="inlineStr">
        <is>
          <t>P K</t>
        </is>
      </c>
      <c r="D56" s="5" t="n">
        <v>62</v>
      </c>
      <c r="E56" s="5" t="n">
        <v>5</v>
      </c>
      <c r="F56" s="6" t="n">
        <v>61.1</v>
      </c>
      <c r="G56" s="5" t="n">
        <v>60</v>
      </c>
      <c r="H56" s="5" t="n">
        <v>2</v>
      </c>
      <c r="I56" s="6" t="n">
        <v>57.2</v>
      </c>
      <c r="J56" s="5" t="n">
        <v>5</v>
      </c>
      <c r="K56" s="6" t="n">
        <v>7.2</v>
      </c>
      <c r="L56" s="5" t="n">
        <v>57</v>
      </c>
      <c r="M56" s="5" t="n">
        <v>2</v>
      </c>
    </row>
    <row r="58">
      <c r="A58" s="4" t="inlineStr">
        <is>
          <t>K Ü M Ü L A</t>
        </is>
      </c>
      <c r="B58" s="4" t="inlineStr">
        <is>
          <t>T İ</t>
        </is>
      </c>
      <c r="C58" s="4" t="inlineStr">
        <is>
          <t>F</t>
        </is>
      </c>
      <c r="D58" s="5" t="n">
        <v>201</v>
      </c>
      <c r="E58" s="5" t="n">
        <v>9</v>
      </c>
      <c r="F58" s="5" t="n">
        <v>2020</v>
      </c>
      <c r="G58" s="5" t="n">
        <v>202</v>
      </c>
      <c r="H58" s="5" t="n">
        <v>12</v>
      </c>
      <c r="I58" s="5" t="n">
        <v>22</v>
      </c>
      <c r="J58" s="5" t="n">
        <v>2</v>
      </c>
      <c r="K58" s="5" t="n">
        <v>23</v>
      </c>
      <c r="L58" s="5" t="n">
        <v>4</v>
      </c>
      <c r="M58" s="4" t="inlineStr">
        <is>
          <t>A 2</t>
        </is>
      </c>
      <c r="N58" s="5" t="n">
        <v>4</v>
      </c>
    </row>
    <row r="60">
      <c r="A60" s="4" t="inlineStr">
        <is>
          <t>C O 2 g r a m</t>
        </is>
      </c>
      <c r="B60" s="4" t="inlineStr">
        <is>
          <t>/ R</t>
        </is>
      </c>
      <c r="C60" s="4" t="inlineStr">
        <is>
          <t>P K</t>
        </is>
      </c>
      <c r="D60" s="5" t="n">
        <v>65</v>
      </c>
      <c r="E60" s="5" t="n">
        <v>1</v>
      </c>
      <c r="F60" s="6" t="n">
        <v>71.3</v>
      </c>
      <c r="G60" s="5" t="n">
        <v>71</v>
      </c>
      <c r="H60" s="5" t="n">
        <v>0</v>
      </c>
      <c r="I60" s="6" t="n">
        <v>62.1</v>
      </c>
      <c r="J60" s="5" t="n">
        <v>6</v>
      </c>
      <c r="K60" s="6" t="n">
        <v>1.3</v>
      </c>
      <c r="L60" s="5" t="n">
        <v>57</v>
      </c>
      <c r="M60" s="5" t="n">
        <v>9</v>
      </c>
    </row>
    <row r="62">
      <c r="A62" s="4" t="inlineStr">
        <is>
          <t>Karbon Emisy</t>
        </is>
      </c>
      <c r="B62" s="4" t="inlineStr">
        <is>
          <t>on</t>
        </is>
      </c>
      <c r="C62" s="4" t="inlineStr">
        <is>
          <t>u İstatistikler</t>
        </is>
      </c>
      <c r="D62" s="4" t="inlineStr">
        <is>
          <t>ind</t>
        </is>
      </c>
      <c r="E62" s="4" t="inlineStr">
        <is>
          <t>e (grCO2</t>
        </is>
      </c>
      <c r="F62" s="4" t="inlineStr">
        <is>
          <t>/RP</t>
        </is>
      </c>
      <c r="G62" s="4" t="inlineStr">
        <is>
          <t>K)</t>
        </is>
      </c>
      <c r="H62" s="4" t="inlineStr">
        <is>
          <t>jet yakıtı em</t>
        </is>
      </c>
      <c r="I62" s="4" t="inlineStr">
        <is>
          <t>isyon kats</t>
        </is>
      </c>
      <c r="J62" s="4" t="inlineStr">
        <is>
          <t>ayısı ba</t>
        </is>
      </c>
      <c r="K62" s="4" t="inlineStr">
        <is>
          <t>z yıl ve tüm raporl</t>
        </is>
      </c>
      <c r="L62" s="4" t="inlineStr">
        <is>
          <t>anan dönem</t>
        </is>
      </c>
      <c r="M62" s="4" t="inlineStr">
        <is>
          <t>ler için 3,16 olara</t>
        </is>
      </c>
      <c r="N62" s="4" t="inlineStr">
        <is>
          <t>k kul</t>
        </is>
      </c>
      <c r="O62" s="4" t="inlineStr">
        <is>
          <t>lanılmıştır. 2</t>
        </is>
      </c>
      <c r="P62" s="5" t="n">
        <v>24</v>
      </c>
      <c r="Q62" s="4" t="inlineStr">
        <is>
          <t>Ocak</t>
        </is>
      </c>
      <c r="R62" s="4" t="inlineStr">
        <is>
          <t>ayı itibariyle</t>
        </is>
      </c>
      <c r="S62" s="6" t="n">
        <v>3.16</v>
      </c>
    </row>
    <row r="63">
      <c r="A63" s="4" t="inlineStr">
        <is>
          <t>emisyon faktö</t>
        </is>
      </c>
      <c r="B63" s="4" t="inlineStr">
        <is>
          <t>rün</t>
        </is>
      </c>
      <c r="C63" s="4" t="inlineStr">
        <is>
          <t>e geçiş gerç</t>
        </is>
      </c>
      <c r="D63" s="4" t="inlineStr">
        <is>
          <t>ekl</t>
        </is>
      </c>
      <c r="E63" s="4" t="inlineStr">
        <is>
          <t>eştirilmiş</t>
        </is>
      </c>
      <c r="F63" s="4" t="inlineStr">
        <is>
          <t>ve</t>
        </is>
      </c>
      <c r="G63" s="4" t="inlineStr">
        <is>
          <t>bu</t>
        </is>
      </c>
      <c r="H63" s="4" t="inlineStr">
        <is>
          <t>değere göre</t>
        </is>
      </c>
      <c r="I63" s="4" t="inlineStr">
        <is>
          <t>geçmiş yı</t>
        </is>
      </c>
      <c r="J63" s="4" t="inlineStr">
        <is>
          <t>llara ait</t>
        </is>
      </c>
      <c r="K63" s="4" t="inlineStr">
        <is>
          <t>aylık emisyon değ</t>
        </is>
      </c>
      <c r="L63" s="4" t="inlineStr">
        <is>
          <t>erleri güncel</t>
        </is>
      </c>
      <c r="M63" s="4" t="inlineStr">
        <is>
          <t>lenerek paylaşılm</t>
        </is>
      </c>
      <c r="N63" s="4" t="inlineStr">
        <is>
          <t>ıştır.</t>
        </is>
      </c>
    </row>
    <row r="65">
      <c r="A65" s="4" t="inlineStr">
        <is>
          <t>Arz edilen K</t>
        </is>
      </c>
      <c r="B65" s="4" t="inlineStr">
        <is>
          <t>olt</t>
        </is>
      </c>
      <c r="C65" s="4" t="inlineStr">
        <is>
          <t>uk Kilomet</t>
        </is>
      </c>
      <c r="D65" s="4" t="inlineStr">
        <is>
          <t>re</t>
        </is>
      </c>
      <c r="E65" s="4" t="inlineStr">
        <is>
          <t>(ASK) =</t>
        </is>
      </c>
      <c r="F65" s="4" t="inlineStr">
        <is>
          <t>Uç</t>
        </is>
      </c>
      <c r="G65" s="4" t="inlineStr">
        <is>
          <t>uş</t>
        </is>
      </c>
      <c r="H65" s="4" t="inlineStr">
        <is>
          <t>a arz edile</t>
        </is>
      </c>
      <c r="I65" s="4" t="inlineStr">
        <is>
          <t>n koltuk s</t>
        </is>
      </c>
      <c r="J65" s="4" t="inlineStr">
        <is>
          <t>ayısı x</t>
        </is>
      </c>
      <c r="K65" s="4" t="inlineStr">
        <is>
          <t>Ortalama Uçuş</t>
        </is>
      </c>
      <c r="L65" s="4" t="inlineStr">
        <is>
          <t>Mesafesi</t>
        </is>
      </c>
    </row>
    <row r="67">
      <c r="A67" s="4" t="inlineStr">
        <is>
          <t>Doluluk Ora</t>
        </is>
      </c>
      <c r="B67" s="4" t="inlineStr">
        <is>
          <t>nı</t>
        </is>
      </c>
      <c r="C67" s="4">
        <f> Biletlenm</f>
        <v/>
      </c>
      <c r="D67" s="4" t="inlineStr">
        <is>
          <t>iş</t>
        </is>
      </c>
      <c r="E67" s="4" t="inlineStr">
        <is>
          <t>misafir</t>
        </is>
      </c>
      <c r="F67" s="4" t="inlineStr">
        <is>
          <t>sa</t>
        </is>
      </c>
      <c r="G67" s="4" t="inlineStr">
        <is>
          <t>yısı</t>
        </is>
      </c>
      <c r="H67" s="4" t="inlineStr">
        <is>
          <t>/ Toplam</t>
        </is>
      </c>
      <c r="I67" s="4" t="inlineStr">
        <is>
          <t>koltuk sa</t>
        </is>
      </c>
      <c r="J67" s="4" t="inlineStr">
        <is>
          <t>yısı</t>
        </is>
      </c>
    </row>
    <row r="69">
      <c r="A69" s="4" t="inlineStr">
        <is>
          <t>RPK (Reven</t>
        </is>
      </c>
      <c r="B69" s="4" t="inlineStr">
        <is>
          <t>ue</t>
        </is>
      </c>
      <c r="C69" s="4" t="inlineStr">
        <is>
          <t>Passenger</t>
        </is>
      </c>
      <c r="D69" s="4" t="inlineStr">
        <is>
          <t>Kil</t>
        </is>
      </c>
      <c r="E69" s="4" t="inlineStr">
        <is>
          <t>ometer)</t>
        </is>
      </c>
      <c r="F69" s="4" t="inlineStr">
        <is>
          <t>: Ü</t>
        </is>
      </c>
      <c r="G69" s="4" t="inlineStr">
        <is>
          <t>cr</t>
        </is>
      </c>
      <c r="H69" s="4" t="inlineStr">
        <is>
          <t>etli Yolcu K</t>
        </is>
      </c>
      <c r="I69" s="4" t="inlineStr">
        <is>
          <t>ilometre</t>
        </is>
      </c>
    </row>
    <row r="71">
      <c r="A71" s="2" t="inlineStr">
        <is>
          <t>Genel (Public)</t>
        </is>
      </c>
    </row>
  </sheetData>
  <mergeCells count="3">
    <mergeCell ref="A71:S71"/>
    <mergeCell ref="A30:S30"/>
    <mergeCell ref="A17:S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cols>
    <col width="15" customWidth="1" min="1" max="1"/>
    <col width="13" customWidth="1" min="2" max="2"/>
    <col width="13" customWidth="1" min="3" max="3"/>
    <col width="18" customWidth="1" min="4" max="4"/>
    <col width="15" customWidth="1" min="5" max="5"/>
    <col width="17" customWidth="1" min="6" max="6"/>
    <col width="12" customWidth="1" min="7" max="7"/>
    <col width="14" customWidth="1" min="8" max="8"/>
    <col width="15" customWidth="1" min="9" max="9"/>
    <col width="12" customWidth="1" min="10" max="10"/>
    <col width="16" customWidth="1" min="11" max="11"/>
    <col width="13" customWidth="1" min="12" max="12"/>
    <col width="20" customWidth="1" min="13" max="13"/>
    <col width="12" customWidth="1" min="14" max="14"/>
    <col width="15" customWidth="1" min="15" max="15"/>
    <col width="12" customWidth="1" min="16" max="16"/>
    <col width="12" customWidth="1" min="17" max="17"/>
    <col width="16" customWidth="1" min="18" max="18"/>
    <col width="12" customWidth="1" min="19" max="19"/>
  </cols>
  <sheetData>
    <row r="1">
      <c r="A1" s="4" t="inlineStr">
        <is>
          <t>P E G A S</t>
        </is>
      </c>
      <c r="B1" s="4" t="inlineStr">
        <is>
          <t>U S</t>
        </is>
      </c>
      <c r="C1" s="4" t="inlineStr">
        <is>
          <t>H</t>
        </is>
      </c>
      <c r="D1" s="4" t="inlineStr">
        <is>
          <t>A V A T A Ş I</t>
        </is>
      </c>
      <c r="E1" s="4" t="inlineStr">
        <is>
          <t>M</t>
        </is>
      </c>
      <c r="F1" s="4" t="inlineStr">
        <is>
          <t>A C I L I Ğ</t>
        </is>
      </c>
      <c r="G1" s="4" t="inlineStr">
        <is>
          <t>I A . Ş</t>
        </is>
      </c>
      <c r="H1" s="4" t="inlineStr">
        <is>
          <t>.</t>
        </is>
      </c>
    </row>
    <row r="3">
      <c r="A3" s="4" t="inlineStr">
        <is>
          <t>M A Y I S</t>
        </is>
      </c>
      <c r="B3" s="5" t="n">
        <v>20</v>
      </c>
      <c r="C3" s="5" t="n">
        <v>24</v>
      </c>
      <c r="D3" s="4" t="inlineStr">
        <is>
          <t>T R A F İ K S</t>
        </is>
      </c>
      <c r="E3" s="4" t="inlineStr">
        <is>
          <t>O</t>
        </is>
      </c>
      <c r="F3" s="4" t="inlineStr">
        <is>
          <t>N U Ç L A</t>
        </is>
      </c>
      <c r="G3" s="4" t="inlineStr">
        <is>
          <t>R I</t>
        </is>
      </c>
    </row>
    <row r="5">
      <c r="A5" s="4" t="inlineStr">
        <is>
          <t>A Y L I</t>
        </is>
      </c>
      <c r="B5" s="4" t="inlineStr">
        <is>
          <t>K</t>
        </is>
      </c>
      <c r="C5" s="4" t="inlineStr">
        <is>
          <t>K</t>
        </is>
      </c>
      <c r="D5" s="4" t="inlineStr">
        <is>
          <t>Ü M Ü</t>
        </is>
      </c>
      <c r="E5" s="4" t="inlineStr">
        <is>
          <t>L A</t>
        </is>
      </c>
      <c r="F5" s="4" t="inlineStr">
        <is>
          <t>T İ F</t>
        </is>
      </c>
    </row>
    <row r="7">
      <c r="A7" s="4" t="inlineStr">
        <is>
          <t>M a y ı</t>
        </is>
      </c>
      <c r="B7" s="4" t="inlineStr">
        <is>
          <t>s</t>
        </is>
      </c>
      <c r="C7" s="4" t="inlineStr">
        <is>
          <t>M a y ı</t>
        </is>
      </c>
      <c r="D7" s="4" t="inlineStr">
        <is>
          <t>s</t>
        </is>
      </c>
      <c r="E7" s="4" t="inlineStr">
        <is>
          <t>' 2 4 / ' 2 3</t>
        </is>
      </c>
      <c r="F7" s="4" t="inlineStr">
        <is>
          <t>O c a . -</t>
        </is>
      </c>
      <c r="G7" s="4" t="inlineStr">
        <is>
          <t>M a y .</t>
        </is>
      </c>
      <c r="H7" s="4" t="inlineStr">
        <is>
          <t>O c a . -</t>
        </is>
      </c>
      <c r="I7" s="4" t="inlineStr">
        <is>
          <t>M a</t>
        </is>
      </c>
      <c r="J7" s="4" t="inlineStr">
        <is>
          <t>y . ' 2</t>
        </is>
      </c>
      <c r="K7" s="4" t="inlineStr">
        <is>
          <t>4 / '</t>
        </is>
      </c>
    </row>
    <row r="9">
      <c r="A9" s="4" t="inlineStr">
        <is>
          <t>2 0 2 4</t>
        </is>
      </c>
      <c r="B9" s="5" t="n">
        <v>2023</v>
      </c>
      <c r="C9" s="4" t="inlineStr">
        <is>
          <t>% D e ğ .</t>
        </is>
      </c>
      <c r="D9" s="5" t="n">
        <v>202</v>
      </c>
      <c r="E9" s="5" t="n">
        <v>4</v>
      </c>
      <c r="F9" s="5" t="n">
        <v>202</v>
      </c>
      <c r="G9" s="5" t="n">
        <v>3</v>
      </c>
      <c r="H9" s="4" t="inlineStr">
        <is>
          <t>Y ı l l ı k</t>
        </is>
      </c>
      <c r="I9" s="4" t="inlineStr">
        <is>
          <t>%</t>
        </is>
      </c>
    </row>
    <row r="11">
      <c r="A11" s="4" t="inlineStr">
        <is>
          <t>M i s a f i r</t>
        </is>
      </c>
      <c r="B11" s="4" t="inlineStr">
        <is>
          <t>s</t>
        </is>
      </c>
      <c r="C11" s="4" t="inlineStr">
        <is>
          <t>a y ı s ı ,</t>
        </is>
      </c>
      <c r="D11" s="4" t="inlineStr">
        <is>
          <t>m n</t>
        </is>
      </c>
      <c r="E11" s="6" t="n">
        <v>3.16</v>
      </c>
      <c r="F11" s="6" t="n">
        <v>2.63</v>
      </c>
      <c r="G11" s="7" t="n">
        <v>0.21</v>
      </c>
      <c r="H11" s="5" t="n">
        <v>14</v>
      </c>
      <c r="I11" s="5" t="n">
        <v>15</v>
      </c>
      <c r="J11" s="5" t="n">
        <v>11</v>
      </c>
      <c r="K11" s="5" t="n">
        <v>29</v>
      </c>
      <c r="L11" s="7" t="n">
        <v>0.25</v>
      </c>
    </row>
    <row r="13">
      <c r="A13" s="4" t="inlineStr">
        <is>
          <t>K o n m a</t>
        </is>
      </c>
      <c r="B13" s="6" t="n">
        <v>17.48</v>
      </c>
      <c r="C13" s="5" t="n">
        <v>5</v>
      </c>
      <c r="D13" s="6" t="n">
        <v>15.99</v>
      </c>
      <c r="E13" s="5" t="n">
        <v>7</v>
      </c>
      <c r="F13" s="7" t="n">
        <v>0.09</v>
      </c>
      <c r="G13" s="6" t="n">
        <v>78.59999999999999</v>
      </c>
      <c r="H13" s="5" t="n">
        <v>23</v>
      </c>
      <c r="I13" s="6" t="n">
        <v>68.2</v>
      </c>
      <c r="J13" s="5" t="n">
        <v>56</v>
      </c>
      <c r="K13" s="7" t="n">
        <v>0.15</v>
      </c>
    </row>
    <row r="15">
      <c r="A15" s="4" t="inlineStr">
        <is>
          <t>K o lt u k</t>
        </is>
      </c>
      <c r="B15" s="4" t="inlineStr">
        <is>
          <t>s</t>
        </is>
      </c>
      <c r="C15" s="4" t="inlineStr">
        <is>
          <t>a y ı s ı ,</t>
        </is>
      </c>
      <c r="D15" s="4" t="inlineStr">
        <is>
          <t>m n</t>
        </is>
      </c>
      <c r="E15" s="6" t="n">
        <v>3.62</v>
      </c>
      <c r="F15" s="6" t="n">
        <v>3.2</v>
      </c>
      <c r="G15" s="7" t="n">
        <v>0.13</v>
      </c>
      <c r="H15" s="5" t="n">
        <v>16</v>
      </c>
      <c r="I15" s="5" t="n">
        <v>17</v>
      </c>
      <c r="J15" s="5" t="n">
        <v>13</v>
      </c>
      <c r="K15" s="5" t="n">
        <v>61</v>
      </c>
      <c r="L15" s="7" t="n">
        <v>0.19</v>
      </c>
    </row>
    <row r="17">
      <c r="A17" s="4" t="inlineStr">
        <is>
          <t>T o p l a</t>
        </is>
      </c>
      <c r="B17" s="4" t="inlineStr">
        <is>
          <t>m</t>
        </is>
      </c>
    </row>
    <row r="18">
      <c r="A18" s="4" t="inlineStr">
        <is>
          <t>D o l u l u</t>
        </is>
      </c>
      <c r="B18" s="4" t="inlineStr">
        <is>
          <t>k</t>
        </is>
      </c>
      <c r="C18" s="4" t="inlineStr">
        <is>
          <t>O r a n ı</t>
        </is>
      </c>
      <c r="D18" s="6" t="n">
        <v>87.5</v>
      </c>
      <c r="E18" s="4" t="inlineStr">
        <is>
          <t>%</t>
        </is>
      </c>
      <c r="F18" s="5" t="n">
        <v>82</v>
      </c>
      <c r="G18" s="4" t="inlineStr">
        <is>
          <t>%</t>
        </is>
      </c>
      <c r="H18" s="8" t="n">
        <v>5.5</v>
      </c>
      <c r="I18" s="6" t="n">
        <v>87.5</v>
      </c>
      <c r="J18" s="4" t="inlineStr">
        <is>
          <t>%</t>
        </is>
      </c>
      <c r="K18" s="5" t="n">
        <v>83</v>
      </c>
      <c r="L18" s="4" t="inlineStr">
        <is>
          <t>%</t>
        </is>
      </c>
      <c r="M18" s="6" t="n">
        <v>4.5</v>
      </c>
    </row>
    <row r="20">
      <c r="A20" s="4" t="inlineStr">
        <is>
          <t>A S K (</t>
        </is>
      </c>
      <c r="B20" s="4" t="inlineStr">
        <is>
          <t>m l</t>
        </is>
      </c>
      <c r="C20" s="4" t="inlineStr">
        <is>
          <t>n k m )</t>
        </is>
      </c>
      <c r="D20" s="6" t="n">
        <v>5.73</v>
      </c>
      <c r="E20" s="5" t="n">
        <v>2</v>
      </c>
      <c r="F20" s="5" t="n">
        <v>5</v>
      </c>
      <c r="G20" s="5" t="n">
        <v>9</v>
      </c>
      <c r="H20" s="7" t="n">
        <v>0.14</v>
      </c>
      <c r="I20" s="5" t="n">
        <v>25</v>
      </c>
      <c r="J20" s="5" t="n">
        <v>59</v>
      </c>
      <c r="K20" s="6" t="n">
        <v>20.6</v>
      </c>
      <c r="L20" s="5" t="n">
        <v>72</v>
      </c>
      <c r="M20" s="7" t="n">
        <v>0.21</v>
      </c>
    </row>
    <row r="22">
      <c r="A22" s="4" t="inlineStr">
        <is>
          <t>K o n m a</t>
        </is>
      </c>
      <c r="B22" s="4" t="inlineStr">
        <is>
          <t>b</t>
        </is>
      </c>
      <c r="C22" s="4" t="inlineStr">
        <is>
          <t>a ş ı n a</t>
        </is>
      </c>
      <c r="D22" s="4" t="inlineStr">
        <is>
          <t>M i s a</t>
        </is>
      </c>
      <c r="E22" s="4" t="inlineStr">
        <is>
          <t>f i r</t>
        </is>
      </c>
      <c r="F22" s="5" t="n">
        <v>181</v>
      </c>
      <c r="G22" s="5" t="n">
        <v>164</v>
      </c>
      <c r="H22" s="7" t="n">
        <v>0.1</v>
      </c>
      <c r="I22" s="5" t="n">
        <v>18</v>
      </c>
      <c r="J22" s="5" t="n">
        <v>0</v>
      </c>
      <c r="K22" s="5" t="n">
        <v>16</v>
      </c>
      <c r="L22" s="5" t="n">
        <v>5</v>
      </c>
      <c r="M22" s="7" t="n">
        <v>0.09</v>
      </c>
    </row>
    <row r="24">
      <c r="A24" s="4" t="inlineStr">
        <is>
          <t>M i s a f i r</t>
        </is>
      </c>
      <c r="B24" s="4" t="inlineStr">
        <is>
          <t>s</t>
        </is>
      </c>
      <c r="C24" s="4" t="inlineStr">
        <is>
          <t>a y ı s ı ,</t>
        </is>
      </c>
      <c r="D24" s="4" t="inlineStr">
        <is>
          <t>m n</t>
        </is>
      </c>
      <c r="E24" s="6" t="n">
        <v>1.19</v>
      </c>
      <c r="F24" s="6" t="n">
        <v>0.96</v>
      </c>
      <c r="G24" s="7" t="n">
        <v>0.24</v>
      </c>
      <c r="H24" s="6" t="n">
        <v>5.5</v>
      </c>
      <c r="I24" s="5" t="n">
        <v>0</v>
      </c>
      <c r="J24" s="6" t="n">
        <v>4.3</v>
      </c>
      <c r="K24" s="5" t="n">
        <v>6</v>
      </c>
      <c r="L24" s="7" t="n">
        <v>0.26</v>
      </c>
    </row>
    <row r="26">
      <c r="A26" s="4" t="inlineStr">
        <is>
          <t>K o n m a</t>
        </is>
      </c>
      <c r="B26" s="6" t="n">
        <v>6.32</v>
      </c>
      <c r="C26" s="5" t="n">
        <v>7</v>
      </c>
      <c r="D26" s="6" t="n">
        <v>5.66</v>
      </c>
      <c r="E26" s="5" t="n">
        <v>0</v>
      </c>
      <c r="F26" s="7" t="n">
        <v>0.12</v>
      </c>
      <c r="G26" s="6" t="n">
        <v>29.9</v>
      </c>
      <c r="H26" s="5" t="n">
        <v>18</v>
      </c>
      <c r="I26" s="6" t="n">
        <v>26.2</v>
      </c>
      <c r="J26" s="5" t="n">
        <v>82</v>
      </c>
      <c r="K26" s="7" t="n">
        <v>0.14</v>
      </c>
    </row>
    <row r="28">
      <c r="A28" s="4" t="inlineStr">
        <is>
          <t>K o lt u k</t>
        </is>
      </c>
      <c r="B28" s="4" t="inlineStr">
        <is>
          <t>s</t>
        </is>
      </c>
      <c r="C28" s="4" t="inlineStr">
        <is>
          <t>a y ı s ı ,</t>
        </is>
      </c>
      <c r="D28" s="4" t="inlineStr">
        <is>
          <t>m n</t>
        </is>
      </c>
      <c r="E28" s="6" t="n">
        <v>1.31</v>
      </c>
      <c r="F28" s="6" t="n">
        <v>1.12</v>
      </c>
      <c r="G28" s="7" t="n">
        <v>0.17</v>
      </c>
      <c r="H28" s="5" t="n">
        <v>6</v>
      </c>
      <c r="I28" s="5" t="n">
        <v>8</v>
      </c>
      <c r="J28" s="6" t="n">
        <v>5.1</v>
      </c>
      <c r="K28" s="5" t="n">
        <v>3</v>
      </c>
      <c r="L28" s="7" t="n">
        <v>0.18</v>
      </c>
    </row>
    <row r="30">
      <c r="A30" s="4" t="inlineStr">
        <is>
          <t>İ ç H a t l</t>
        </is>
      </c>
      <c r="B30" s="4" t="inlineStr">
        <is>
          <t>a r</t>
        </is>
      </c>
    </row>
    <row r="31">
      <c r="A31" s="4" t="inlineStr">
        <is>
          <t>D o l u l u</t>
        </is>
      </c>
      <c r="B31" s="4" t="inlineStr">
        <is>
          <t>k</t>
        </is>
      </c>
      <c r="C31" s="4" t="inlineStr">
        <is>
          <t>O r a n ı</t>
        </is>
      </c>
      <c r="D31" s="6" t="n">
        <v>90.59999999999999</v>
      </c>
      <c r="E31" s="4" t="inlineStr">
        <is>
          <t>%</t>
        </is>
      </c>
      <c r="F31" s="6" t="n">
        <v>85.5</v>
      </c>
      <c r="G31" s="4" t="inlineStr">
        <is>
          <t>%</t>
        </is>
      </c>
      <c r="H31" s="8" t="n">
        <v>5.1</v>
      </c>
      <c r="I31" s="6" t="n">
        <v>90.5</v>
      </c>
      <c r="J31" s="4" t="inlineStr">
        <is>
          <t>%</t>
        </is>
      </c>
      <c r="K31" s="5" t="n">
        <v>85</v>
      </c>
      <c r="L31" s="4" t="inlineStr">
        <is>
          <t>%</t>
        </is>
      </c>
      <c r="M31" s="6" t="n">
        <v>5.6</v>
      </c>
    </row>
    <row r="33">
      <c r="A33" s="4" t="inlineStr">
        <is>
          <t>A S K (</t>
        </is>
      </c>
      <c r="B33" s="4" t="inlineStr">
        <is>
          <t>m l</t>
        </is>
      </c>
      <c r="C33" s="4" t="inlineStr">
        <is>
          <t>n k m )</t>
        </is>
      </c>
      <c r="D33" s="5" t="n">
        <v>972</v>
      </c>
      <c r="E33" s="5" t="n">
        <v>797</v>
      </c>
      <c r="F33" s="7" t="n">
        <v>0.22</v>
      </c>
      <c r="G33" s="6" t="n">
        <v>4.57</v>
      </c>
      <c r="H33" s="5" t="n">
        <v>0</v>
      </c>
      <c r="I33" s="6" t="n">
        <v>3.81</v>
      </c>
      <c r="J33" s="5" t="n">
        <v>4</v>
      </c>
      <c r="K33" s="7" t="n">
        <v>0.2</v>
      </c>
    </row>
    <row r="35">
      <c r="A35" s="4" t="inlineStr">
        <is>
          <t>K o n m a</t>
        </is>
      </c>
      <c r="B35" s="4" t="inlineStr">
        <is>
          <t>b</t>
        </is>
      </c>
      <c r="C35" s="4" t="inlineStr">
        <is>
          <t>a ş ı n a</t>
        </is>
      </c>
      <c r="D35" s="4" t="inlineStr">
        <is>
          <t>M i s a</t>
        </is>
      </c>
      <c r="E35" s="4" t="inlineStr">
        <is>
          <t>f i r</t>
        </is>
      </c>
      <c r="F35" s="5" t="n">
        <v>188</v>
      </c>
      <c r="G35" s="5" t="n">
        <v>169</v>
      </c>
      <c r="H35" s="7" t="n">
        <v>0.11</v>
      </c>
      <c r="I35" s="5" t="n">
        <v>18</v>
      </c>
      <c r="J35" s="5" t="n">
        <v>4</v>
      </c>
      <c r="K35" s="5" t="n">
        <v>16</v>
      </c>
      <c r="L35" s="5" t="n">
        <v>6</v>
      </c>
      <c r="M35" s="7" t="n">
        <v>0.11</v>
      </c>
    </row>
    <row r="37">
      <c r="A37" s="4" t="inlineStr">
        <is>
          <t>M i s a f i r</t>
        </is>
      </c>
      <c r="B37" s="4" t="inlineStr">
        <is>
          <t>s</t>
        </is>
      </c>
      <c r="C37" s="4" t="inlineStr">
        <is>
          <t>a y ı s ı ,</t>
        </is>
      </c>
      <c r="D37" s="4" t="inlineStr">
        <is>
          <t>m n</t>
        </is>
      </c>
      <c r="E37" s="6" t="n">
        <v>1.98</v>
      </c>
      <c r="F37" s="6" t="n">
        <v>1.67</v>
      </c>
      <c r="G37" s="7" t="n">
        <v>0.18</v>
      </c>
      <c r="H37" s="6" t="n">
        <v>8.6</v>
      </c>
      <c r="I37" s="5" t="n">
        <v>5</v>
      </c>
      <c r="J37" s="6" t="n">
        <v>6.9</v>
      </c>
      <c r="K37" s="5" t="n">
        <v>3</v>
      </c>
      <c r="L37" s="7" t="n">
        <v>0.25</v>
      </c>
    </row>
    <row r="39">
      <c r="A39" s="4" t="inlineStr">
        <is>
          <t>K o n m a</t>
        </is>
      </c>
      <c r="B39" s="6" t="n">
        <v>11.15</v>
      </c>
      <c r="C39" s="5" t="n">
        <v>8</v>
      </c>
      <c r="D39" s="6" t="n">
        <v>10.33</v>
      </c>
      <c r="E39" s="5" t="n">
        <v>7</v>
      </c>
      <c r="F39" s="7" t="n">
        <v>0.08</v>
      </c>
      <c r="G39" s="6" t="n">
        <v>48.7</v>
      </c>
      <c r="H39" s="5" t="n">
        <v>5</v>
      </c>
      <c r="I39" s="6" t="n">
        <v>41.9</v>
      </c>
      <c r="J39" s="5" t="n">
        <v>74</v>
      </c>
      <c r="K39" s="7" t="n">
        <v>0.16</v>
      </c>
    </row>
    <row r="41">
      <c r="A41" s="4" t="inlineStr">
        <is>
          <t>K o lt u k</t>
        </is>
      </c>
      <c r="B41" s="4" t="inlineStr">
        <is>
          <t>s</t>
        </is>
      </c>
      <c r="C41" s="4" t="inlineStr">
        <is>
          <t>a y ı s ı ,</t>
        </is>
      </c>
      <c r="D41" s="4" t="inlineStr">
        <is>
          <t>m n</t>
        </is>
      </c>
      <c r="E41" s="6" t="n">
        <v>2.3</v>
      </c>
      <c r="F41" s="6" t="n">
        <v>2.08</v>
      </c>
      <c r="G41" s="7" t="n">
        <v>0.11</v>
      </c>
      <c r="H41" s="5" t="n">
        <v>10</v>
      </c>
      <c r="I41" s="5" t="n">
        <v>10</v>
      </c>
      <c r="J41" s="6" t="n">
        <v>8.4</v>
      </c>
      <c r="K41" s="5" t="n">
        <v>8</v>
      </c>
      <c r="L41" s="7" t="n">
        <v>0.19</v>
      </c>
    </row>
    <row r="43">
      <c r="A43" s="4" t="inlineStr">
        <is>
          <t>D ı ş H a</t>
        </is>
      </c>
      <c r="B43" s="4" t="inlineStr">
        <is>
          <t>t l a</t>
        </is>
      </c>
      <c r="C43" s="4" t="inlineStr">
        <is>
          <t>r *</t>
        </is>
      </c>
    </row>
    <row r="44">
      <c r="A44" s="4" t="inlineStr">
        <is>
          <t>D o l u l u</t>
        </is>
      </c>
      <c r="B44" s="4" t="inlineStr">
        <is>
          <t>k</t>
        </is>
      </c>
      <c r="C44" s="4" t="inlineStr">
        <is>
          <t>O r a n ı</t>
        </is>
      </c>
      <c r="D44" s="6" t="n">
        <v>85.8</v>
      </c>
      <c r="E44" s="4" t="inlineStr">
        <is>
          <t>%</t>
        </is>
      </c>
      <c r="F44" s="6" t="n">
        <v>80.2</v>
      </c>
      <c r="G44" s="4" t="inlineStr">
        <is>
          <t>%</t>
        </is>
      </c>
      <c r="H44" s="8" t="n">
        <v>5.6</v>
      </c>
      <c r="I44" s="6" t="n">
        <v>85.59999999999999</v>
      </c>
      <c r="J44" s="4" t="inlineStr">
        <is>
          <t>%</t>
        </is>
      </c>
      <c r="K44" s="6" t="n">
        <v>81.8</v>
      </c>
      <c r="L44" s="4" t="inlineStr">
        <is>
          <t>%</t>
        </is>
      </c>
      <c r="M44" s="6" t="n">
        <v>3.8</v>
      </c>
    </row>
    <row r="46">
      <c r="A46" s="4" t="inlineStr">
        <is>
          <t>A S K (</t>
        </is>
      </c>
      <c r="B46" s="4" t="inlineStr">
        <is>
          <t>m l</t>
        </is>
      </c>
      <c r="C46" s="4" t="inlineStr">
        <is>
          <t>n k m )</t>
        </is>
      </c>
      <c r="D46" s="6" t="n">
        <v>4.76</v>
      </c>
      <c r="E46" s="5" t="n">
        <v>0</v>
      </c>
      <c r="F46" s="6" t="n">
        <v>4.21</v>
      </c>
      <c r="G46" s="5" t="n">
        <v>1</v>
      </c>
      <c r="H46" s="7" t="n">
        <v>0.13</v>
      </c>
      <c r="I46" s="6" t="n">
        <v>20.4</v>
      </c>
      <c r="J46" s="5" t="n">
        <v>89</v>
      </c>
      <c r="K46" s="6" t="n">
        <v>16.8</v>
      </c>
      <c r="L46" s="5" t="n">
        <v>58</v>
      </c>
      <c r="M46" s="7" t="n">
        <v>0.22</v>
      </c>
    </row>
    <row r="48">
      <c r="A48" s="4" t="inlineStr">
        <is>
          <t>K o n m a</t>
        </is>
      </c>
      <c r="B48" s="4" t="inlineStr">
        <is>
          <t>b</t>
        </is>
      </c>
      <c r="C48" s="4" t="inlineStr">
        <is>
          <t>a ş ı n a</t>
        </is>
      </c>
      <c r="D48" s="4" t="inlineStr">
        <is>
          <t>M i s a</t>
        </is>
      </c>
      <c r="E48" s="4" t="inlineStr">
        <is>
          <t>f i r</t>
        </is>
      </c>
      <c r="F48" s="5" t="n">
        <v>177</v>
      </c>
      <c r="G48" s="5" t="n">
        <v>161</v>
      </c>
      <c r="H48" s="7" t="n">
        <v>0.1</v>
      </c>
      <c r="I48" s="5" t="n">
        <v>17</v>
      </c>
      <c r="J48" s="5" t="n">
        <v>8</v>
      </c>
      <c r="K48" s="5" t="n">
        <v>16</v>
      </c>
      <c r="L48" s="5" t="n">
        <v>5</v>
      </c>
      <c r="M48" s="7" t="n">
        <v>0.08</v>
      </c>
    </row>
    <row r="50">
      <c r="A50" s="4" t="inlineStr">
        <is>
          <t>* C h a r t e</t>
        </is>
      </c>
      <c r="B50" s="4" t="inlineStr">
        <is>
          <t>r d a</t>
        </is>
      </c>
      <c r="C50" s="4" t="inlineStr">
        <is>
          <t>h il</t>
        </is>
      </c>
    </row>
    <row r="52">
      <c r="A52" s="4" t="inlineStr">
        <is>
          <t>K a r b o</t>
        </is>
      </c>
      <c r="B52" s="4" t="inlineStr">
        <is>
          <t>n E</t>
        </is>
      </c>
      <c r="C52" s="4" t="inlineStr">
        <is>
          <t>m</t>
        </is>
      </c>
      <c r="D52" s="4" t="inlineStr">
        <is>
          <t>i s y o n u İ s</t>
        </is>
      </c>
      <c r="E52" s="4" t="inlineStr">
        <is>
          <t>t a</t>
        </is>
      </c>
      <c r="F52" s="4" t="inlineStr">
        <is>
          <t>t i s t i k l e</t>
        </is>
      </c>
      <c r="G52" s="4" t="inlineStr">
        <is>
          <t>r i</t>
        </is>
      </c>
    </row>
    <row r="54">
      <c r="A54" s="4" t="inlineStr">
        <is>
          <t>A Y L I K</t>
        </is>
      </c>
      <c r="B54" s="4" t="inlineStr">
        <is>
          <t>A r a . ' 2</t>
        </is>
      </c>
      <c r="C54" s="5" t="n">
        <v>3</v>
      </c>
      <c r="D54" s="4" t="inlineStr">
        <is>
          <t>O c a . ' 2</t>
        </is>
      </c>
      <c r="E54" s="5" t="n">
        <v>4</v>
      </c>
      <c r="F54" s="4" t="inlineStr">
        <is>
          <t>Ş u b . ' 2 4</t>
        </is>
      </c>
      <c r="G54" s="4" t="inlineStr">
        <is>
          <t>M a r . '</t>
        </is>
      </c>
      <c r="H54" s="5" t="n">
        <v>24</v>
      </c>
      <c r="I54" s="4" t="inlineStr">
        <is>
          <t>N i s . '</t>
        </is>
      </c>
      <c r="J54" s="5" t="n">
        <v>24</v>
      </c>
      <c r="K54" s="4" t="inlineStr">
        <is>
          <t>M</t>
        </is>
      </c>
      <c r="L54" s="4" t="inlineStr">
        <is>
          <t>a y . '</t>
        </is>
      </c>
    </row>
    <row r="56">
      <c r="A56" s="4" t="inlineStr">
        <is>
          <t>C O 2 g r</t>
        </is>
      </c>
      <c r="B56" s="4" t="inlineStr">
        <is>
          <t>a m</t>
        </is>
      </c>
      <c r="C56" s="4" t="inlineStr">
        <is>
          <t>/ R</t>
        </is>
      </c>
      <c r="D56" s="4" t="inlineStr">
        <is>
          <t>P K</t>
        </is>
      </c>
      <c r="E56" s="6" t="n">
        <v>61.1</v>
      </c>
      <c r="F56" s="6" t="n">
        <v>60.2</v>
      </c>
      <c r="G56" s="6" t="n">
        <v>57.2</v>
      </c>
      <c r="H56" s="5" t="n">
        <v>57</v>
      </c>
      <c r="I56" s="5" t="n">
        <v>2</v>
      </c>
      <c r="J56" s="5" t="n">
        <v>57</v>
      </c>
      <c r="K56" s="5" t="n">
        <v>2</v>
      </c>
      <c r="L56" s="5" t="n">
        <v>57</v>
      </c>
    </row>
    <row r="58">
      <c r="A58" s="4" t="inlineStr">
        <is>
          <t>K Ü M Ü</t>
        </is>
      </c>
      <c r="B58" s="4" t="inlineStr">
        <is>
          <t>L A</t>
        </is>
      </c>
      <c r="C58" s="4" t="inlineStr">
        <is>
          <t>T İ</t>
        </is>
      </c>
      <c r="D58" s="4" t="inlineStr">
        <is>
          <t>F</t>
        </is>
      </c>
      <c r="E58" s="5" t="n">
        <v>2019</v>
      </c>
      <c r="F58" s="5" t="n">
        <v>2020</v>
      </c>
      <c r="G58" s="5" t="n">
        <v>2021</v>
      </c>
      <c r="H58" s="5" t="n">
        <v>202</v>
      </c>
      <c r="I58" s="5" t="n">
        <v>2</v>
      </c>
      <c r="J58" s="5" t="n">
        <v>202</v>
      </c>
      <c r="K58" s="5" t="n">
        <v>3</v>
      </c>
      <c r="L58" s="5" t="n">
        <v>5</v>
      </c>
      <c r="M58" s="4" t="inlineStr">
        <is>
          <t>A 2</t>
        </is>
      </c>
    </row>
    <row r="60">
      <c r="A60" s="4" t="inlineStr">
        <is>
          <t>C O 2 g r</t>
        </is>
      </c>
      <c r="B60" s="4" t="inlineStr">
        <is>
          <t>a m</t>
        </is>
      </c>
      <c r="C60" s="4" t="inlineStr">
        <is>
          <t>/ R</t>
        </is>
      </c>
      <c r="D60" s="4" t="inlineStr">
        <is>
          <t>P K</t>
        </is>
      </c>
      <c r="E60" s="6" t="n">
        <v>65.09999999999999</v>
      </c>
      <c r="F60" s="6" t="n">
        <v>71.3</v>
      </c>
      <c r="G60" s="5" t="n">
        <v>71</v>
      </c>
      <c r="H60" s="5" t="n">
        <v>62</v>
      </c>
      <c r="I60" s="5" t="n">
        <v>1</v>
      </c>
      <c r="J60" s="5" t="n">
        <v>61</v>
      </c>
      <c r="K60" s="5" t="n">
        <v>3</v>
      </c>
      <c r="L60" s="5" t="n">
        <v>57</v>
      </c>
    </row>
    <row r="62">
      <c r="A62" s="3" t="inlineStr">
        <is>
          <t>Karbon E</t>
        </is>
      </c>
      <c r="B62" s="3" t="inlineStr">
        <is>
          <t>misy</t>
        </is>
      </c>
      <c r="C62" s="3" t="inlineStr">
        <is>
          <t>on</t>
        </is>
      </c>
      <c r="D62" s="3" t="inlineStr">
        <is>
          <t>u İstatistikleri</t>
        </is>
      </c>
      <c r="E62" s="3" t="inlineStr">
        <is>
          <t>nd</t>
        </is>
      </c>
      <c r="F62" s="3" t="inlineStr">
        <is>
          <t>e (grCO2</t>
        </is>
      </c>
      <c r="G62" s="3" t="inlineStr">
        <is>
          <t>/RPK)</t>
        </is>
      </c>
      <c r="H62" s="3" t="inlineStr">
        <is>
          <t>jet yakıtı e</t>
        </is>
      </c>
      <c r="I62" s="3" t="inlineStr">
        <is>
          <t>misyon katsa</t>
        </is>
      </c>
      <c r="J62" s="3" t="inlineStr">
        <is>
          <t>yısı ba</t>
        </is>
      </c>
      <c r="K62" s="3" t="inlineStr">
        <is>
          <t>z yıl ve tüm r</t>
        </is>
      </c>
      <c r="L62" s="3" t="inlineStr">
        <is>
          <t>aporlanan</t>
        </is>
      </c>
      <c r="M62" s="3" t="inlineStr">
        <is>
          <t>dönemler için 3,16</t>
        </is>
      </c>
      <c r="N62" s="3" t="inlineStr">
        <is>
          <t>olarak ku</t>
        </is>
      </c>
      <c r="O62" s="3" t="inlineStr">
        <is>
          <t>llanılmıştır.</t>
        </is>
      </c>
      <c r="P62" s="3" t="inlineStr">
        <is>
          <t>2024 O</t>
        </is>
      </c>
      <c r="Q62" s="3" t="inlineStr">
        <is>
          <t>cak</t>
        </is>
      </c>
      <c r="R62" s="3" t="inlineStr">
        <is>
          <t>ayı itibariyle</t>
        </is>
      </c>
      <c r="S62" s="3" t="inlineStr">
        <is>
          <t>3,16</t>
        </is>
      </c>
    </row>
    <row r="63">
      <c r="A63" s="4" t="inlineStr">
        <is>
          <t>emisyon f</t>
        </is>
      </c>
      <c r="B63" s="4" t="inlineStr">
        <is>
          <t>aktö</t>
        </is>
      </c>
      <c r="C63" s="4" t="inlineStr">
        <is>
          <t>rün</t>
        </is>
      </c>
      <c r="D63" s="4" t="inlineStr">
        <is>
          <t>e geçiş gerçe</t>
        </is>
      </c>
      <c r="E63" s="4" t="inlineStr">
        <is>
          <t>kl</t>
        </is>
      </c>
      <c r="F63" s="4" t="inlineStr">
        <is>
          <t>eştirilmiş</t>
        </is>
      </c>
      <c r="G63" s="4" t="inlineStr">
        <is>
          <t>ve bu</t>
        </is>
      </c>
      <c r="H63" s="4" t="inlineStr">
        <is>
          <t>değere gör</t>
        </is>
      </c>
      <c r="I63" s="4" t="inlineStr">
        <is>
          <t>e geçmiş yıll</t>
        </is>
      </c>
      <c r="J63" s="4" t="inlineStr">
        <is>
          <t>ara ait</t>
        </is>
      </c>
      <c r="K63" s="4" t="inlineStr">
        <is>
          <t>aylık emisyo</t>
        </is>
      </c>
      <c r="L63" s="4" t="inlineStr">
        <is>
          <t>n değerleri</t>
        </is>
      </c>
      <c r="M63" s="4" t="inlineStr">
        <is>
          <t>güncellenerek payl</t>
        </is>
      </c>
      <c r="N63" s="4" t="inlineStr">
        <is>
          <t>aşılmıştır</t>
        </is>
      </c>
      <c r="O63" s="4" t="inlineStr">
        <is>
          <t>.</t>
        </is>
      </c>
    </row>
    <row r="65">
      <c r="A65" s="4" t="inlineStr">
        <is>
          <t>Arz edile</t>
        </is>
      </c>
      <c r="B65" s="4" t="inlineStr">
        <is>
          <t>n K</t>
        </is>
      </c>
      <c r="C65" s="4" t="inlineStr">
        <is>
          <t>olt</t>
        </is>
      </c>
      <c r="D65" s="4" t="inlineStr">
        <is>
          <t>uk Kilometr</t>
        </is>
      </c>
      <c r="E65" s="4" t="inlineStr">
        <is>
          <t>e</t>
        </is>
      </c>
      <c r="F65" s="4" t="inlineStr">
        <is>
          <t>(ASK) =</t>
        </is>
      </c>
      <c r="G65" s="4" t="inlineStr">
        <is>
          <t>Uçuş</t>
        </is>
      </c>
      <c r="H65" s="4" t="inlineStr">
        <is>
          <t>a arz edile</t>
        </is>
      </c>
      <c r="I65" s="4" t="inlineStr">
        <is>
          <t>n koltuk sa</t>
        </is>
      </c>
      <c r="J65" s="4" t="inlineStr">
        <is>
          <t>yısı x</t>
        </is>
      </c>
      <c r="K65" s="4" t="inlineStr">
        <is>
          <t>Ortalama</t>
        </is>
      </c>
      <c r="L65" s="4" t="inlineStr">
        <is>
          <t>Uçuş Mes</t>
        </is>
      </c>
      <c r="M65" s="4" t="inlineStr">
        <is>
          <t>afesi</t>
        </is>
      </c>
    </row>
    <row r="67">
      <c r="A67" s="4" t="inlineStr">
        <is>
          <t>Doluluk</t>
        </is>
      </c>
      <c r="B67" s="4" t="inlineStr">
        <is>
          <t>Ora</t>
        </is>
      </c>
      <c r="C67" s="4" t="inlineStr">
        <is>
          <t>nı</t>
        </is>
      </c>
      <c r="D67" s="4">
        <f> Biletlenm</f>
        <v/>
      </c>
      <c r="E67" s="4" t="inlineStr">
        <is>
          <t>iş</t>
        </is>
      </c>
      <c r="F67" s="4" t="inlineStr">
        <is>
          <t>misafir</t>
        </is>
      </c>
      <c r="G67" s="4" t="inlineStr">
        <is>
          <t>sayısı</t>
        </is>
      </c>
      <c r="H67" s="4" t="inlineStr">
        <is>
          <t>/ Toplam</t>
        </is>
      </c>
      <c r="I67" s="4" t="inlineStr">
        <is>
          <t>koltuk say</t>
        </is>
      </c>
      <c r="J67" s="4" t="inlineStr">
        <is>
          <t>ısı</t>
        </is>
      </c>
    </row>
    <row r="69">
      <c r="A69" s="4" t="inlineStr">
        <is>
          <t>RPK (Rev</t>
        </is>
      </c>
      <c r="B69" s="4" t="inlineStr">
        <is>
          <t>en</t>
        </is>
      </c>
      <c r="C69" s="4" t="inlineStr">
        <is>
          <t>ue</t>
        </is>
      </c>
      <c r="D69" s="4" t="inlineStr">
        <is>
          <t>Passenger</t>
        </is>
      </c>
      <c r="E69" s="4" t="inlineStr">
        <is>
          <t>Kil</t>
        </is>
      </c>
      <c r="F69" s="4" t="inlineStr">
        <is>
          <t>ometer)</t>
        </is>
      </c>
      <c r="G69" s="4" t="inlineStr">
        <is>
          <t>: Ücr</t>
        </is>
      </c>
      <c r="H69" s="4" t="inlineStr">
        <is>
          <t>etli Yolcu</t>
        </is>
      </c>
      <c r="I69" s="4" t="inlineStr">
        <is>
          <t>Kilometre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17" customWidth="1" min="1" max="1"/>
    <col width="14" customWidth="1" min="2" max="2"/>
    <col width="12" customWidth="1" min="3" max="3"/>
    <col width="12" customWidth="1" min="4" max="4"/>
    <col width="17" customWidth="1" min="5" max="5"/>
    <col width="15" customWidth="1" min="6" max="6"/>
    <col width="12" customWidth="1" min="7" max="7"/>
    <col width="14" customWidth="1" min="8" max="8"/>
    <col width="15" customWidth="1" min="9" max="9"/>
    <col width="12" customWidth="1" min="10" max="10"/>
    <col width="14" customWidth="1" min="11" max="11"/>
    <col width="13" customWidth="1" min="12" max="12"/>
    <col width="24" customWidth="1" min="13" max="13"/>
    <col width="20" customWidth="1" min="14" max="14"/>
    <col width="12" customWidth="1" min="15" max="15"/>
    <col width="17" customWidth="1" min="16" max="16"/>
    <col width="12" customWidth="1" min="17" max="17"/>
    <col width="12" customWidth="1" min="18" max="18"/>
    <col width="12" customWidth="1" min="19" max="19"/>
    <col width="12" customWidth="1" min="20" max="20"/>
  </cols>
  <sheetData>
    <row r="1">
      <c r="A1" s="4" t="inlineStr">
        <is>
          <t>P E G A S U</t>
        </is>
      </c>
      <c r="B1" s="4" t="inlineStr">
        <is>
          <t>S H A V A</t>
        </is>
      </c>
      <c r="C1" s="4" t="inlineStr">
        <is>
          <t>T A Ş</t>
        </is>
      </c>
      <c r="D1" s="4" t="inlineStr">
        <is>
          <t>I M</t>
        </is>
      </c>
      <c r="E1" s="4" t="inlineStr">
        <is>
          <t>A C I L</t>
        </is>
      </c>
      <c r="F1" s="4" t="inlineStr">
        <is>
          <t>I Ğ I</t>
        </is>
      </c>
      <c r="G1" s="4" t="inlineStr">
        <is>
          <t>A . Ş</t>
        </is>
      </c>
      <c r="H1" s="4" t="inlineStr">
        <is>
          <t>.</t>
        </is>
      </c>
    </row>
    <row r="3">
      <c r="A3" s="4" t="inlineStr">
        <is>
          <t>H A Z İ R A</t>
        </is>
      </c>
      <c r="B3" s="4" t="inlineStr">
        <is>
          <t>N 2 0 2 4 T</t>
        </is>
      </c>
      <c r="C3" s="4" t="inlineStr">
        <is>
          <t>R A F</t>
        </is>
      </c>
      <c r="D3" s="4" t="inlineStr">
        <is>
          <t>İ K S</t>
        </is>
      </c>
      <c r="E3" s="4" t="inlineStr">
        <is>
          <t>O N</t>
        </is>
      </c>
      <c r="F3" s="4" t="inlineStr">
        <is>
          <t>U Ç L</t>
        </is>
      </c>
      <c r="G3" s="4" t="inlineStr">
        <is>
          <t>A R</t>
        </is>
      </c>
      <c r="H3" s="4" t="inlineStr">
        <is>
          <t>I</t>
        </is>
      </c>
    </row>
    <row r="5">
      <c r="A5" s="4" t="inlineStr">
        <is>
          <t>A Y L I</t>
        </is>
      </c>
      <c r="B5" s="4" t="inlineStr">
        <is>
          <t>K</t>
        </is>
      </c>
      <c r="C5" s="4" t="inlineStr">
        <is>
          <t>K Ü</t>
        </is>
      </c>
      <c r="D5" s="4" t="inlineStr">
        <is>
          <t>M Ü L A</t>
        </is>
      </c>
      <c r="E5" s="4" t="inlineStr">
        <is>
          <t>T İ F</t>
        </is>
      </c>
    </row>
    <row r="7">
      <c r="A7" s="4" t="inlineStr">
        <is>
          <t>H a z i r</t>
        </is>
      </c>
      <c r="B7" s="4" t="inlineStr">
        <is>
          <t>a n</t>
        </is>
      </c>
      <c r="C7" s="4" t="inlineStr">
        <is>
          <t>H a z i r</t>
        </is>
      </c>
      <c r="D7" s="4" t="inlineStr">
        <is>
          <t>a n</t>
        </is>
      </c>
      <c r="E7" s="4" t="inlineStr">
        <is>
          <t>' 2 4 / ' 2 3 O</t>
        </is>
      </c>
      <c r="F7" s="4" t="inlineStr">
        <is>
          <t>c</t>
        </is>
      </c>
      <c r="G7" s="4" t="inlineStr">
        <is>
          <t>a . -</t>
        </is>
      </c>
      <c r="H7" s="4" t="inlineStr">
        <is>
          <t>H a z . O</t>
        </is>
      </c>
      <c r="I7" s="4" t="inlineStr">
        <is>
          <t>c a . - H a</t>
        </is>
      </c>
      <c r="J7" s="4" t="inlineStr">
        <is>
          <t>z .</t>
        </is>
      </c>
      <c r="K7" s="4" t="inlineStr">
        <is>
          <t>' 2</t>
        </is>
      </c>
      <c r="L7" s="4" t="inlineStr">
        <is>
          <t>4 / '</t>
        </is>
      </c>
      <c r="M7" s="5" t="n">
        <v>2</v>
      </c>
    </row>
    <row r="9">
      <c r="A9" s="4" t="inlineStr">
        <is>
          <t>2 0 2</t>
        </is>
      </c>
      <c r="B9" s="5" t="n">
        <v>4</v>
      </c>
      <c r="C9" s="5" t="n">
        <v>202</v>
      </c>
      <c r="D9" s="5" t="n">
        <v>3</v>
      </c>
      <c r="E9" s="4" t="inlineStr">
        <is>
          <t>% D e ğ .</t>
        </is>
      </c>
      <c r="F9" s="5" t="n">
        <v>2</v>
      </c>
      <c r="G9" s="5" t="n">
        <v>2</v>
      </c>
      <c r="H9" s="5" t="n">
        <v>4</v>
      </c>
      <c r="I9" s="5" t="n">
        <v>2023</v>
      </c>
      <c r="J9" s="4" t="inlineStr">
        <is>
          <t>Y ı l l ı</t>
        </is>
      </c>
      <c r="K9" s="4" t="inlineStr">
        <is>
          <t>k %</t>
        </is>
      </c>
      <c r="L9" s="4" t="inlineStr">
        <is>
          <t>D</t>
        </is>
      </c>
    </row>
    <row r="11">
      <c r="A11" s="4" t="inlineStr">
        <is>
          <t>M</t>
        </is>
      </c>
      <c r="B11" s="4" t="inlineStr">
        <is>
          <t>i s a</t>
        </is>
      </c>
      <c r="C11" s="4" t="inlineStr">
        <is>
          <t>f i r s</t>
        </is>
      </c>
      <c r="D11" s="4" t="inlineStr">
        <is>
          <t>a y ı s</t>
        </is>
      </c>
      <c r="E11" s="4" t="inlineStr">
        <is>
          <t>ı , m</t>
        </is>
      </c>
      <c r="F11" s="4" t="inlineStr">
        <is>
          <t>n</t>
        </is>
      </c>
      <c r="G11" s="6" t="n">
        <v>3.2</v>
      </c>
      <c r="H11" s="5" t="n">
        <v>7</v>
      </c>
      <c r="I11" s="6" t="n">
        <v>2.8</v>
      </c>
      <c r="J11" s="5" t="n">
        <v>4</v>
      </c>
      <c r="K11" s="7" t="n">
        <v>0.15</v>
      </c>
      <c r="L11" s="5" t="n">
        <v>1</v>
      </c>
      <c r="M11" s="6" t="n">
        <v>7.4</v>
      </c>
      <c r="N11" s="5" t="n">
        <v>3</v>
      </c>
      <c r="O11" s="6" t="n">
        <v>14.13</v>
      </c>
      <c r="P11" s="7" t="n">
        <v>0.23</v>
      </c>
    </row>
    <row r="13">
      <c r="A13" s="4" t="inlineStr">
        <is>
          <t>K</t>
        </is>
      </c>
      <c r="B13" s="4" t="inlineStr">
        <is>
          <t>o n</t>
        </is>
      </c>
      <c r="C13" s="4" t="inlineStr">
        <is>
          <t>m a</t>
        </is>
      </c>
      <c r="D13" s="6" t="n">
        <v>18.2</v>
      </c>
      <c r="E13" s="5" t="n">
        <v>31</v>
      </c>
      <c r="F13" s="6" t="n">
        <v>17.3</v>
      </c>
      <c r="G13" s="5" t="n">
        <v>43</v>
      </c>
      <c r="H13" s="7" t="n">
        <v>0.05</v>
      </c>
      <c r="I13" s="5" t="n">
        <v>9</v>
      </c>
      <c r="J13" s="6" t="n">
        <v>6.8</v>
      </c>
      <c r="K13" s="5" t="n">
        <v>54</v>
      </c>
      <c r="L13" s="5" t="n">
        <v>85599</v>
      </c>
      <c r="M13" s="7" t="n">
        <v>0.13</v>
      </c>
    </row>
    <row r="15">
      <c r="A15" s="4" t="inlineStr">
        <is>
          <t>K</t>
        </is>
      </c>
      <c r="B15" s="4" t="inlineStr">
        <is>
          <t>o lt u</t>
        </is>
      </c>
      <c r="C15" s="4" t="inlineStr">
        <is>
          <t>k s a</t>
        </is>
      </c>
      <c r="D15" s="4" t="inlineStr">
        <is>
          <t>y ı s ı</t>
        </is>
      </c>
      <c r="E15" s="4" t="inlineStr">
        <is>
          <t>, m n</t>
        </is>
      </c>
      <c r="F15" s="6" t="n">
        <v>3.7</v>
      </c>
      <c r="G15" s="5" t="n">
        <v>8</v>
      </c>
      <c r="H15" s="6" t="n">
        <v>3.4</v>
      </c>
      <c r="I15" s="5" t="n">
        <v>9</v>
      </c>
      <c r="J15" s="7" t="n">
        <v>0.08</v>
      </c>
      <c r="K15" s="5" t="n">
        <v>1</v>
      </c>
      <c r="L15" s="6" t="n">
        <v>9.9</v>
      </c>
      <c r="M15" s="5" t="n">
        <v>5</v>
      </c>
      <c r="N15" s="6" t="n">
        <v>17.09</v>
      </c>
      <c r="O15" s="7" t="n">
        <v>0.17</v>
      </c>
    </row>
    <row r="17">
      <c r="A17" s="2" t="inlineStr">
        <is>
          <t>T o p l a m</t>
        </is>
      </c>
    </row>
    <row r="18">
      <c r="A18" s="4" t="inlineStr">
        <is>
          <t>D</t>
        </is>
      </c>
      <c r="B18" s="4" t="inlineStr">
        <is>
          <t>o l u</t>
        </is>
      </c>
      <c r="C18" s="4" t="inlineStr">
        <is>
          <t>l u k</t>
        </is>
      </c>
      <c r="D18" s="4" t="inlineStr">
        <is>
          <t>O r a</t>
        </is>
      </c>
      <c r="E18" s="4" t="inlineStr">
        <is>
          <t>n ı</t>
        </is>
      </c>
      <c r="F18" s="6" t="n">
        <v>86.7</v>
      </c>
      <c r="G18" s="4" t="inlineStr">
        <is>
          <t>%</t>
        </is>
      </c>
      <c r="H18" s="6" t="n">
        <v>81.3</v>
      </c>
      <c r="I18" s="4" t="inlineStr">
        <is>
          <t>%</t>
        </is>
      </c>
      <c r="J18" s="8" t="n">
        <v>5.4</v>
      </c>
      <c r="K18" s="5" t="n">
        <v>8</v>
      </c>
      <c r="L18" s="6" t="n">
        <v>7.3</v>
      </c>
      <c r="M18" s="4" t="inlineStr">
        <is>
          <t>%</t>
        </is>
      </c>
      <c r="N18" s="7" t="n">
        <v>0.8270000000000001</v>
      </c>
      <c r="O18" s="6" t="n">
        <v>4.7</v>
      </c>
      <c r="P18" s="4" t="inlineStr">
        <is>
          <t>p</t>
        </is>
      </c>
    </row>
    <row r="20">
      <c r="A20" s="4" t="inlineStr">
        <is>
          <t>A</t>
        </is>
      </c>
      <c r="B20" s="4" t="inlineStr">
        <is>
          <t>S K</t>
        </is>
      </c>
      <c r="C20" s="4" t="inlineStr">
        <is>
          <t>( m l</t>
        </is>
      </c>
      <c r="D20" s="4" t="inlineStr">
        <is>
          <t>n k m</t>
        </is>
      </c>
      <c r="E20" s="4" t="inlineStr">
        <is>
          <t>)</t>
        </is>
      </c>
      <c r="F20" s="6" t="n">
        <v>6.02</v>
      </c>
      <c r="G20" s="5" t="n">
        <v>9</v>
      </c>
      <c r="H20" s="6" t="n">
        <v>5.48</v>
      </c>
      <c r="I20" s="5" t="n">
        <v>5</v>
      </c>
      <c r="J20" s="7" t="n">
        <v>0.1</v>
      </c>
      <c r="K20" s="5" t="n">
        <v>3</v>
      </c>
      <c r="L20" s="5" t="n">
        <v>1</v>
      </c>
      <c r="M20" s="5" t="n">
        <v>88</v>
      </c>
      <c r="N20" s="5" t="n">
        <v>26157</v>
      </c>
      <c r="O20" s="7" t="n">
        <v>0.19</v>
      </c>
    </row>
    <row r="22">
      <c r="A22" s="4" t="inlineStr">
        <is>
          <t>K</t>
        </is>
      </c>
      <c r="B22" s="4" t="inlineStr">
        <is>
          <t>o n</t>
        </is>
      </c>
      <c r="C22" s="4" t="inlineStr">
        <is>
          <t>m a b</t>
        </is>
      </c>
      <c r="D22" s="4" t="inlineStr">
        <is>
          <t>a ş ı n</t>
        </is>
      </c>
      <c r="E22" s="4" t="inlineStr">
        <is>
          <t>a M</t>
        </is>
      </c>
      <c r="F22" s="4" t="inlineStr">
        <is>
          <t>i s a</t>
        </is>
      </c>
      <c r="G22" s="4" t="inlineStr">
        <is>
          <t>f i r</t>
        </is>
      </c>
      <c r="H22" s="5" t="n">
        <v>180</v>
      </c>
      <c r="I22" s="5" t="n">
        <v>164</v>
      </c>
      <c r="J22" s="7" t="n">
        <v>0.1</v>
      </c>
      <c r="K22" s="5" t="n">
        <v>18</v>
      </c>
      <c r="L22" s="5" t="n">
        <v>0</v>
      </c>
      <c r="M22" s="5" t="n">
        <v>165</v>
      </c>
      <c r="N22" s="7" t="n">
        <v>0.09</v>
      </c>
    </row>
    <row r="24">
      <c r="A24" s="4" t="inlineStr">
        <is>
          <t>M</t>
        </is>
      </c>
      <c r="B24" s="4" t="inlineStr">
        <is>
          <t>i s a</t>
        </is>
      </c>
      <c r="C24" s="4" t="inlineStr">
        <is>
          <t>f i r s</t>
        </is>
      </c>
      <c r="D24" s="4" t="inlineStr">
        <is>
          <t>a y ı s</t>
        </is>
      </c>
      <c r="E24" s="4" t="inlineStr">
        <is>
          <t>ı , m</t>
        </is>
      </c>
      <c r="F24" s="4" t="inlineStr">
        <is>
          <t>n</t>
        </is>
      </c>
      <c r="G24" s="6" t="n">
        <v>1.2</v>
      </c>
      <c r="H24" s="5" t="n">
        <v>0</v>
      </c>
      <c r="I24" s="6" t="n">
        <v>0.9</v>
      </c>
      <c r="J24" s="5" t="n">
        <v>9</v>
      </c>
      <c r="K24" s="7" t="n">
        <v>0.21</v>
      </c>
      <c r="L24" s="6" t="n">
        <v>6.7</v>
      </c>
      <c r="M24" s="5" t="n">
        <v>0</v>
      </c>
      <c r="N24" s="6" t="n">
        <v>5.35</v>
      </c>
      <c r="O24" s="7" t="n">
        <v>0.25</v>
      </c>
    </row>
    <row r="26">
      <c r="A26" s="4" t="inlineStr">
        <is>
          <t>K</t>
        </is>
      </c>
      <c r="B26" s="4" t="inlineStr">
        <is>
          <t>o n</t>
        </is>
      </c>
      <c r="C26" s="4" t="inlineStr">
        <is>
          <t>m a</t>
        </is>
      </c>
      <c r="D26" s="6" t="n">
        <v>6.28</v>
      </c>
      <c r="E26" s="5" t="n">
        <v>8</v>
      </c>
      <c r="F26" s="6" t="n">
        <v>5.89</v>
      </c>
      <c r="G26" s="5" t="n">
        <v>6</v>
      </c>
      <c r="H26" s="7" t="n">
        <v>0.07000000000000001</v>
      </c>
      <c r="I26" s="5" t="n">
        <v>3</v>
      </c>
      <c r="J26" s="6" t="n">
        <v>6.2</v>
      </c>
      <c r="K26" s="5" t="n">
        <v>6</v>
      </c>
      <c r="L26" s="5" t="n">
        <v>32178</v>
      </c>
      <c r="M26" s="7" t="n">
        <v>0.13</v>
      </c>
    </row>
    <row r="28">
      <c r="A28" s="4" t="inlineStr">
        <is>
          <t>K</t>
        </is>
      </c>
      <c r="B28" s="4" t="inlineStr">
        <is>
          <t>o lt u</t>
        </is>
      </c>
      <c r="C28" s="4" t="inlineStr">
        <is>
          <t>k s a</t>
        </is>
      </c>
      <c r="D28" s="4" t="inlineStr">
        <is>
          <t>y ı s ı</t>
        </is>
      </c>
      <c r="E28" s="4" t="inlineStr">
        <is>
          <t>, m n</t>
        </is>
      </c>
      <c r="F28" s="6" t="n">
        <v>1.3</v>
      </c>
      <c r="G28" s="5" t="n">
        <v>1</v>
      </c>
      <c r="H28" s="6" t="n">
        <v>1.1</v>
      </c>
      <c r="I28" s="5" t="n">
        <v>8</v>
      </c>
      <c r="J28" s="7" t="n">
        <v>0.11</v>
      </c>
      <c r="K28" s="6" t="n">
        <v>7.3</v>
      </c>
      <c r="L28" s="5" t="n">
        <v>9</v>
      </c>
      <c r="M28" s="6" t="n">
        <v>6.31</v>
      </c>
      <c r="N28" s="7" t="n">
        <v>0.17</v>
      </c>
    </row>
    <row r="30">
      <c r="A30" s="4" t="inlineStr">
        <is>
          <t>İ ç H a t l a</t>
        </is>
      </c>
      <c r="B30" s="4" t="inlineStr">
        <is>
          <t>r</t>
        </is>
      </c>
    </row>
    <row r="31">
      <c r="A31" s="4" t="inlineStr">
        <is>
          <t>D</t>
        </is>
      </c>
      <c r="B31" s="4" t="inlineStr">
        <is>
          <t>o l u</t>
        </is>
      </c>
      <c r="C31" s="4" t="inlineStr">
        <is>
          <t>l u k</t>
        </is>
      </c>
      <c r="D31" s="4" t="inlineStr">
        <is>
          <t>O r a</t>
        </is>
      </c>
      <c r="E31" s="4" t="inlineStr">
        <is>
          <t>n ı</t>
        </is>
      </c>
      <c r="F31" s="6" t="n">
        <v>91.8</v>
      </c>
      <c r="G31" s="4" t="inlineStr">
        <is>
          <t>%</t>
        </is>
      </c>
      <c r="H31" s="5" t="n">
        <v>84</v>
      </c>
      <c r="I31" s="4" t="inlineStr">
        <is>
          <t>%</t>
        </is>
      </c>
      <c r="J31" s="8" t="n">
        <v>7.8</v>
      </c>
      <c r="K31" s="5" t="n">
        <v>9</v>
      </c>
      <c r="L31" s="6" t="n">
        <v>0.8</v>
      </c>
      <c r="M31" s="4" t="inlineStr">
        <is>
          <t>%</t>
        </is>
      </c>
      <c r="N31" s="7" t="n">
        <v>0.848</v>
      </c>
      <c r="O31" s="5" t="n">
        <v>6</v>
      </c>
      <c r="P31" s="4" t="inlineStr">
        <is>
          <t>p</t>
        </is>
      </c>
    </row>
    <row r="33">
      <c r="A33" s="4" t="inlineStr">
        <is>
          <t>A</t>
        </is>
      </c>
      <c r="B33" s="4" t="inlineStr">
        <is>
          <t>S K</t>
        </is>
      </c>
      <c r="C33" s="4" t="inlineStr">
        <is>
          <t>( m l</t>
        </is>
      </c>
      <c r="D33" s="4" t="inlineStr">
        <is>
          <t>n k m</t>
        </is>
      </c>
      <c r="E33" s="4" t="inlineStr">
        <is>
          <t>)</t>
        </is>
      </c>
      <c r="F33" s="5" t="n">
        <v>963</v>
      </c>
      <c r="G33" s="5" t="n">
        <v>834</v>
      </c>
      <c r="H33" s="7" t="n">
        <v>0.15</v>
      </c>
      <c r="I33" s="5" t="n">
        <v>5</v>
      </c>
      <c r="J33" s="6" t="n">
        <v>0.53</v>
      </c>
      <c r="K33" s="5" t="n">
        <v>2</v>
      </c>
      <c r="L33" s="5" t="n">
        <v>4649</v>
      </c>
      <c r="M33" s="7" t="n">
        <v>0.19</v>
      </c>
    </row>
    <row r="35">
      <c r="A35" s="4" t="inlineStr">
        <is>
          <t>K</t>
        </is>
      </c>
      <c r="B35" s="4" t="inlineStr">
        <is>
          <t>o n</t>
        </is>
      </c>
      <c r="C35" s="4" t="inlineStr">
        <is>
          <t>m a b</t>
        </is>
      </c>
      <c r="D35" s="4" t="inlineStr">
        <is>
          <t>a ş ı n</t>
        </is>
      </c>
      <c r="E35" s="4" t="inlineStr">
        <is>
          <t>a M</t>
        </is>
      </c>
      <c r="F35" s="4" t="inlineStr">
        <is>
          <t>i s a</t>
        </is>
      </c>
      <c r="G35" s="4" t="inlineStr">
        <is>
          <t>f i r</t>
        </is>
      </c>
      <c r="H35" s="5" t="n">
        <v>191</v>
      </c>
      <c r="I35" s="5" t="n">
        <v>168</v>
      </c>
      <c r="J35" s="7" t="n">
        <v>0.14</v>
      </c>
      <c r="K35" s="5" t="n">
        <v>18</v>
      </c>
      <c r="L35" s="5" t="n">
        <v>5</v>
      </c>
      <c r="M35" s="5" t="n">
        <v>166</v>
      </c>
      <c r="N35" s="7" t="n">
        <v>0.11</v>
      </c>
    </row>
    <row r="37">
      <c r="A37" s="4" t="inlineStr">
        <is>
          <t>M</t>
        </is>
      </c>
      <c r="B37" s="4" t="inlineStr">
        <is>
          <t>i s a</t>
        </is>
      </c>
      <c r="C37" s="4" t="inlineStr">
        <is>
          <t>f i r s</t>
        </is>
      </c>
      <c r="D37" s="4" t="inlineStr">
        <is>
          <t>a y ı s</t>
        </is>
      </c>
      <c r="E37" s="4" t="inlineStr">
        <is>
          <t>ı , m</t>
        </is>
      </c>
      <c r="F37" s="4" t="inlineStr">
        <is>
          <t>n</t>
        </is>
      </c>
      <c r="G37" s="5" t="n">
        <v>2</v>
      </c>
      <c r="H37" s="5" t="n">
        <v>7</v>
      </c>
      <c r="I37" s="6" t="n">
        <v>1.8</v>
      </c>
      <c r="J37" s="5" t="n">
        <v>4</v>
      </c>
      <c r="K37" s="7" t="n">
        <v>0.12</v>
      </c>
      <c r="L37" s="5" t="n">
        <v>1</v>
      </c>
      <c r="M37" s="6" t="n">
        <v>0.7</v>
      </c>
      <c r="N37" s="5" t="n">
        <v>2</v>
      </c>
      <c r="O37" s="6" t="n">
        <v>8.779999999999999</v>
      </c>
      <c r="P37" s="7" t="n">
        <v>0.22</v>
      </c>
    </row>
    <row r="39">
      <c r="A39" s="4" t="inlineStr">
        <is>
          <t>K</t>
        </is>
      </c>
      <c r="B39" s="4" t="inlineStr">
        <is>
          <t>o n</t>
        </is>
      </c>
      <c r="C39" s="4" t="inlineStr">
        <is>
          <t>m a</t>
        </is>
      </c>
      <c r="D39" s="6" t="n">
        <v>11.9</v>
      </c>
      <c r="E39" s="5" t="n">
        <v>43</v>
      </c>
      <c r="F39" s="6" t="n">
        <v>11.4</v>
      </c>
      <c r="G39" s="5" t="n">
        <v>47</v>
      </c>
      <c r="H39" s="7" t="n">
        <v>0.04</v>
      </c>
      <c r="I39" s="5" t="n">
        <v>6</v>
      </c>
      <c r="J39" s="6" t="n">
        <v>0.6</v>
      </c>
      <c r="K39" s="5" t="n">
        <v>48</v>
      </c>
      <c r="L39" s="5" t="n">
        <v>53421</v>
      </c>
      <c r="M39" s="7" t="n">
        <v>0.14</v>
      </c>
    </row>
    <row r="41">
      <c r="A41" s="4" t="inlineStr">
        <is>
          <t>K</t>
        </is>
      </c>
      <c r="B41" s="4" t="inlineStr">
        <is>
          <t>o lt u</t>
        </is>
      </c>
      <c r="C41" s="4" t="inlineStr">
        <is>
          <t>k s a</t>
        </is>
      </c>
      <c r="D41" s="4" t="inlineStr">
        <is>
          <t>y ı s ı</t>
        </is>
      </c>
      <c r="E41" s="4" t="inlineStr">
        <is>
          <t>, m n</t>
        </is>
      </c>
      <c r="F41" s="6" t="n">
        <v>2.4</v>
      </c>
      <c r="G41" s="5" t="n">
        <v>7</v>
      </c>
      <c r="H41" s="6" t="n">
        <v>2.3</v>
      </c>
      <c r="I41" s="5" t="n">
        <v>1</v>
      </c>
      <c r="J41" s="7" t="n">
        <v>0.07000000000000001</v>
      </c>
      <c r="K41" s="5" t="n">
        <v>1</v>
      </c>
      <c r="L41" s="6" t="n">
        <v>2.5</v>
      </c>
      <c r="M41" s="5" t="n">
        <v>6</v>
      </c>
      <c r="N41" s="6" t="n">
        <v>10.78</v>
      </c>
      <c r="O41" s="7" t="n">
        <v>0.17</v>
      </c>
    </row>
    <row r="43">
      <c r="A43" s="4" t="inlineStr">
        <is>
          <t>D ı ş H a t l</t>
        </is>
      </c>
      <c r="B43" s="4" t="inlineStr">
        <is>
          <t>a r *</t>
        </is>
      </c>
    </row>
    <row r="44">
      <c r="A44" s="4" t="inlineStr">
        <is>
          <t>D</t>
        </is>
      </c>
      <c r="B44" s="4" t="inlineStr">
        <is>
          <t>o l u</t>
        </is>
      </c>
      <c r="C44" s="4" t="inlineStr">
        <is>
          <t>l u k</t>
        </is>
      </c>
      <c r="D44" s="4" t="inlineStr">
        <is>
          <t>O r a</t>
        </is>
      </c>
      <c r="E44" s="4" t="inlineStr">
        <is>
          <t>n ı</t>
        </is>
      </c>
      <c r="F44" s="5" t="n">
        <v>84</v>
      </c>
      <c r="G44" s="4" t="inlineStr">
        <is>
          <t>%</t>
        </is>
      </c>
      <c r="H44" s="6" t="n">
        <v>79.90000000000001</v>
      </c>
      <c r="I44" s="4" t="inlineStr">
        <is>
          <t>%</t>
        </is>
      </c>
      <c r="J44" s="8" t="n">
        <v>4.1</v>
      </c>
      <c r="K44" s="5" t="n">
        <v>8</v>
      </c>
      <c r="L44" s="6" t="n">
        <v>5.3</v>
      </c>
      <c r="M44" s="4" t="inlineStr">
        <is>
          <t>%</t>
        </is>
      </c>
      <c r="N44" s="7" t="n">
        <v>0.8140000000000001</v>
      </c>
      <c r="O44" s="6" t="n">
        <v>3.9</v>
      </c>
      <c r="P44" s="4" t="inlineStr">
        <is>
          <t>p</t>
        </is>
      </c>
    </row>
    <row r="46">
      <c r="A46" s="4" t="inlineStr">
        <is>
          <t>A</t>
        </is>
      </c>
      <c r="B46" s="4" t="inlineStr">
        <is>
          <t>S K</t>
        </is>
      </c>
      <c r="C46" s="4" t="inlineStr">
        <is>
          <t>( m l</t>
        </is>
      </c>
      <c r="D46" s="4" t="inlineStr">
        <is>
          <t>n k m</t>
        </is>
      </c>
      <c r="E46" s="4" t="inlineStr">
        <is>
          <t>)</t>
        </is>
      </c>
      <c r="F46" s="6" t="n">
        <v>5.06</v>
      </c>
      <c r="G46" s="5" t="n">
        <v>7</v>
      </c>
      <c r="H46" s="6" t="n">
        <v>4.65</v>
      </c>
      <c r="I46" s="5" t="n">
        <v>0</v>
      </c>
      <c r="J46" s="7" t="n">
        <v>0.09</v>
      </c>
      <c r="K46" s="5" t="n">
        <v>2</v>
      </c>
      <c r="L46" s="6" t="n">
        <v>5.5</v>
      </c>
      <c r="M46" s="5" t="n">
        <v>56</v>
      </c>
      <c r="N46" s="5" t="n">
        <v>21508</v>
      </c>
      <c r="O46" s="7" t="n">
        <v>0.19</v>
      </c>
    </row>
    <row r="48">
      <c r="A48" s="4" t="inlineStr">
        <is>
          <t>K</t>
        </is>
      </c>
      <c r="B48" s="4" t="inlineStr">
        <is>
          <t>o n</t>
        </is>
      </c>
      <c r="C48" s="4" t="inlineStr">
        <is>
          <t>m a b</t>
        </is>
      </c>
      <c r="D48" s="4" t="inlineStr">
        <is>
          <t>a ş ı n</t>
        </is>
      </c>
      <c r="E48" s="4" t="inlineStr">
        <is>
          <t>a M</t>
        </is>
      </c>
      <c r="F48" s="4" t="inlineStr">
        <is>
          <t>i s a</t>
        </is>
      </c>
      <c r="G48" s="4" t="inlineStr">
        <is>
          <t>f i r</t>
        </is>
      </c>
      <c r="H48" s="5" t="n">
        <v>173</v>
      </c>
      <c r="I48" s="5" t="n">
        <v>161</v>
      </c>
      <c r="J48" s="7" t="n">
        <v>0.08</v>
      </c>
      <c r="K48" s="5" t="n">
        <v>17</v>
      </c>
      <c r="L48" s="5" t="n">
        <v>7</v>
      </c>
      <c r="M48" s="5" t="n">
        <v>164</v>
      </c>
      <c r="N48" s="7" t="n">
        <v>0.08</v>
      </c>
    </row>
    <row r="50">
      <c r="A50" s="4" t="inlineStr">
        <is>
          <t>* C h a r t e r</t>
        </is>
      </c>
      <c r="B50" s="4" t="inlineStr">
        <is>
          <t>d a h il</t>
        </is>
      </c>
    </row>
    <row r="52">
      <c r="A52" s="4" t="inlineStr">
        <is>
          <t>K a r b o n</t>
        </is>
      </c>
      <c r="B52" s="4" t="inlineStr">
        <is>
          <t>E m i s y o</t>
        </is>
      </c>
      <c r="C52" s="4" t="inlineStr">
        <is>
          <t>n u</t>
        </is>
      </c>
      <c r="D52" s="4" t="inlineStr">
        <is>
          <t>İ s t a t</t>
        </is>
      </c>
      <c r="E52" s="4" t="inlineStr">
        <is>
          <t>i s t i</t>
        </is>
      </c>
      <c r="F52" s="4" t="inlineStr">
        <is>
          <t>k l e r i</t>
        </is>
      </c>
    </row>
    <row r="54">
      <c r="A54" s="4" t="inlineStr">
        <is>
          <t>A Y L I K</t>
        </is>
      </c>
      <c r="B54" s="4" t="inlineStr">
        <is>
          <t>O c a . '</t>
        </is>
      </c>
      <c r="C54" s="5" t="n">
        <v>24</v>
      </c>
      <c r="D54" s="4" t="inlineStr">
        <is>
          <t>Ş u b . '</t>
        </is>
      </c>
      <c r="E54" s="5" t="n">
        <v>24</v>
      </c>
      <c r="F54" s="4" t="inlineStr">
        <is>
          <t>M a r . ' 2 4</t>
        </is>
      </c>
      <c r="G54" s="4" t="inlineStr">
        <is>
          <t>N i</t>
        </is>
      </c>
      <c r="H54" s="4" t="inlineStr">
        <is>
          <t>s . ' 2</t>
        </is>
      </c>
      <c r="I54" s="4" t="inlineStr">
        <is>
          <t>4 M</t>
        </is>
      </c>
      <c r="J54" s="4" t="inlineStr">
        <is>
          <t>a y . ' 2</t>
        </is>
      </c>
      <c r="K54" s="5" t="n">
        <v>4</v>
      </c>
      <c r="L54" s="4" t="inlineStr">
        <is>
          <t>H</t>
        </is>
      </c>
      <c r="M54" s="4" t="inlineStr">
        <is>
          <t>a z . '</t>
        </is>
      </c>
      <c r="N54" s="5" t="n">
        <v>2</v>
      </c>
    </row>
    <row r="56">
      <c r="A56" s="4" t="inlineStr">
        <is>
          <t>C O 2 g r a</t>
        </is>
      </c>
      <c r="B56" s="4" t="inlineStr">
        <is>
          <t>m / R P K</t>
        </is>
      </c>
      <c r="C56" s="5" t="n">
        <v>60</v>
      </c>
      <c r="D56" s="5" t="n">
        <v>2</v>
      </c>
      <c r="E56" s="5" t="n">
        <v>57</v>
      </c>
      <c r="F56" s="5" t="n">
        <v>2</v>
      </c>
      <c r="G56" s="6" t="n">
        <v>57.2</v>
      </c>
      <c r="H56" s="5" t="n">
        <v>5</v>
      </c>
      <c r="I56" s="6" t="n">
        <v>7.2</v>
      </c>
      <c r="J56" s="6" t="n">
        <v>57.9</v>
      </c>
      <c r="K56" s="5" t="n">
        <v>60</v>
      </c>
      <c r="L56" s="5" t="n">
        <v>4</v>
      </c>
    </row>
    <row r="58">
      <c r="A58" s="4" t="inlineStr">
        <is>
          <t>K Ü M Ü L</t>
        </is>
      </c>
      <c r="B58" s="4" t="inlineStr">
        <is>
          <t>A T İ F</t>
        </is>
      </c>
      <c r="C58" s="5" t="n">
        <v>201</v>
      </c>
      <c r="D58" s="5" t="n">
        <v>9</v>
      </c>
      <c r="E58" s="5" t="n">
        <v>202</v>
      </c>
      <c r="F58" s="5" t="n">
        <v>0</v>
      </c>
      <c r="G58" s="5" t="n">
        <v>2021</v>
      </c>
      <c r="H58" s="5" t="n">
        <v>2</v>
      </c>
      <c r="I58" s="5" t="n">
        <v>2</v>
      </c>
      <c r="J58" s="5" t="n">
        <v>2</v>
      </c>
      <c r="K58" s="5" t="n">
        <v>2023</v>
      </c>
      <c r="L58" s="4" t="inlineStr">
        <is>
          <t>6 A 2</t>
        </is>
      </c>
      <c r="M58" s="5" t="n">
        <v>4</v>
      </c>
    </row>
    <row r="60">
      <c r="A60" s="4" t="inlineStr">
        <is>
          <t>C O 2 g r a</t>
        </is>
      </c>
      <c r="B60" s="4" t="inlineStr">
        <is>
          <t>m / R P K</t>
        </is>
      </c>
      <c r="C60" s="5" t="n">
        <v>65</v>
      </c>
      <c r="D60" s="5" t="n">
        <v>1</v>
      </c>
      <c r="E60" s="5" t="n">
        <v>71</v>
      </c>
      <c r="F60" s="5" t="n">
        <v>3</v>
      </c>
      <c r="G60" s="5" t="n">
        <v>71</v>
      </c>
      <c r="H60" s="5" t="n">
        <v>6</v>
      </c>
      <c r="I60" s="6" t="n">
        <v>2.1</v>
      </c>
      <c r="J60" s="6" t="n">
        <v>61.3</v>
      </c>
      <c r="K60" s="5" t="n">
        <v>58</v>
      </c>
      <c r="L60" s="5" t="n">
        <v>4</v>
      </c>
    </row>
    <row r="62">
      <c r="A62" s="4" t="inlineStr">
        <is>
          <t>Karbon Emi</t>
        </is>
      </c>
      <c r="B62" s="4" t="inlineStr">
        <is>
          <t>syonu İstati</t>
        </is>
      </c>
      <c r="C62" s="4" t="inlineStr">
        <is>
          <t>stikle</t>
        </is>
      </c>
      <c r="D62" s="4" t="inlineStr">
        <is>
          <t>rinde</t>
        </is>
      </c>
      <c r="E62" s="4" t="inlineStr">
        <is>
          <t>(grC</t>
        </is>
      </c>
      <c r="F62" s="4" t="inlineStr">
        <is>
          <t>O2/R</t>
        </is>
      </c>
      <c r="G62" s="4" t="inlineStr">
        <is>
          <t>PK)</t>
        </is>
      </c>
      <c r="H62" s="4" t="inlineStr">
        <is>
          <t>jet yakıtı e</t>
        </is>
      </c>
      <c r="I62" s="4" t="inlineStr">
        <is>
          <t>misyon katsa</t>
        </is>
      </c>
      <c r="J62" s="4" t="inlineStr">
        <is>
          <t>yısı ba</t>
        </is>
      </c>
      <c r="K62" s="4" t="inlineStr">
        <is>
          <t>z yıl ve tüm</t>
        </is>
      </c>
      <c r="L62" s="4" t="inlineStr">
        <is>
          <t>raporlanan</t>
        </is>
      </c>
      <c r="M62" s="4" t="inlineStr">
        <is>
          <t>dönemler için 3,16 ola</t>
        </is>
      </c>
      <c r="N62" s="4" t="inlineStr">
        <is>
          <t>rak</t>
        </is>
      </c>
      <c r="O62" s="4" t="inlineStr">
        <is>
          <t>kul</t>
        </is>
      </c>
      <c r="P62" s="4" t="inlineStr">
        <is>
          <t>lanılmıştır. 20</t>
        </is>
      </c>
      <c r="Q62" s="4" t="inlineStr">
        <is>
          <t>24 Ocak</t>
        </is>
      </c>
      <c r="R62" s="4" t="inlineStr">
        <is>
          <t>ayı</t>
        </is>
      </c>
      <c r="S62" s="4" t="inlineStr">
        <is>
          <t>itibariyle</t>
        </is>
      </c>
      <c r="T62" s="6" t="n">
        <v>3.16</v>
      </c>
    </row>
    <row r="63">
      <c r="A63" s="4" t="inlineStr">
        <is>
          <t>emisyon fak</t>
        </is>
      </c>
      <c r="B63" s="4" t="inlineStr">
        <is>
          <t>törüne geçi</t>
        </is>
      </c>
      <c r="C63" s="4" t="inlineStr">
        <is>
          <t>ş ge</t>
        </is>
      </c>
      <c r="D63" s="4" t="inlineStr">
        <is>
          <t>rçekle</t>
        </is>
      </c>
      <c r="E63" s="4" t="inlineStr">
        <is>
          <t>ştiril</t>
        </is>
      </c>
      <c r="F63" s="4" t="inlineStr">
        <is>
          <t>miş ve</t>
        </is>
      </c>
      <c r="G63" s="4" t="inlineStr">
        <is>
          <t>bu</t>
        </is>
      </c>
      <c r="H63" s="4" t="inlineStr">
        <is>
          <t>değere gör</t>
        </is>
      </c>
      <c r="I63" s="4" t="inlineStr">
        <is>
          <t>e geçmiş yıll</t>
        </is>
      </c>
      <c r="J63" s="4" t="inlineStr">
        <is>
          <t>ara ait</t>
        </is>
      </c>
      <c r="K63" s="4" t="inlineStr">
        <is>
          <t>aylık emisyo</t>
        </is>
      </c>
      <c r="L63" s="4" t="inlineStr">
        <is>
          <t>n değerleri</t>
        </is>
      </c>
      <c r="M63" s="4" t="inlineStr">
        <is>
          <t>güncellenerek paylaşı</t>
        </is>
      </c>
      <c r="N63" s="4" t="inlineStr">
        <is>
          <t>lmı</t>
        </is>
      </c>
      <c r="O63" s="4" t="inlineStr">
        <is>
          <t>ştır.</t>
        </is>
      </c>
    </row>
    <row r="65">
      <c r="A65" s="4" t="inlineStr">
        <is>
          <t>Arz edilen</t>
        </is>
      </c>
      <c r="B65" s="4" t="inlineStr">
        <is>
          <t>Koltuk Kil</t>
        </is>
      </c>
      <c r="C65" s="4" t="inlineStr">
        <is>
          <t>ome</t>
        </is>
      </c>
      <c r="D65" s="4" t="inlineStr">
        <is>
          <t>tre (</t>
        </is>
      </c>
      <c r="E65" s="4" t="inlineStr">
        <is>
          <t>ASK)</t>
        </is>
      </c>
      <c r="F65" s="4">
        <f> Uç</f>
        <v/>
      </c>
      <c r="G65" s="4" t="inlineStr">
        <is>
          <t>uş</t>
        </is>
      </c>
      <c r="H65" s="4" t="inlineStr">
        <is>
          <t>a arz edile</t>
        </is>
      </c>
      <c r="I65" s="4" t="inlineStr">
        <is>
          <t>n koltuk s</t>
        </is>
      </c>
      <c r="J65" s="4" t="inlineStr">
        <is>
          <t>ayısı x</t>
        </is>
      </c>
      <c r="K65" s="4" t="inlineStr">
        <is>
          <t>Ortalama</t>
        </is>
      </c>
      <c r="L65" s="4" t="inlineStr">
        <is>
          <t>Uçuş Mes</t>
        </is>
      </c>
      <c r="M65" s="4" t="inlineStr">
        <is>
          <t>afesi</t>
        </is>
      </c>
    </row>
    <row r="67">
      <c r="A67" s="4" t="inlineStr">
        <is>
          <t>Doluluk O</t>
        </is>
      </c>
      <c r="B67" s="4" t="inlineStr">
        <is>
          <t>ranı = Bile</t>
        </is>
      </c>
      <c r="C67" s="4" t="inlineStr">
        <is>
          <t>tlen</t>
        </is>
      </c>
      <c r="D67" s="4" t="inlineStr">
        <is>
          <t>miş</t>
        </is>
      </c>
      <c r="E67" s="4" t="inlineStr">
        <is>
          <t>misa</t>
        </is>
      </c>
      <c r="F67" s="4" t="inlineStr">
        <is>
          <t>fir sa</t>
        </is>
      </c>
      <c r="G67" s="4" t="inlineStr">
        <is>
          <t>yısı</t>
        </is>
      </c>
      <c r="H67" s="4" t="inlineStr">
        <is>
          <t>/ Toplam</t>
        </is>
      </c>
      <c r="I67" s="4" t="inlineStr">
        <is>
          <t>koltuk say</t>
        </is>
      </c>
      <c r="J67" s="4" t="inlineStr">
        <is>
          <t>ısı</t>
        </is>
      </c>
    </row>
    <row r="69">
      <c r="A69" s="4" t="inlineStr">
        <is>
          <t>RPK (Reve</t>
        </is>
      </c>
      <c r="B69" s="4" t="inlineStr">
        <is>
          <t>nue Passe</t>
        </is>
      </c>
      <c r="C69" s="4" t="inlineStr">
        <is>
          <t>nge</t>
        </is>
      </c>
      <c r="D69" s="4" t="inlineStr">
        <is>
          <t>r Kilo</t>
        </is>
      </c>
      <c r="E69" s="4" t="inlineStr">
        <is>
          <t>met</t>
        </is>
      </c>
      <c r="F69" s="4" t="inlineStr">
        <is>
          <t>er): Ü</t>
        </is>
      </c>
      <c r="G69" s="4" t="inlineStr">
        <is>
          <t>cr</t>
        </is>
      </c>
      <c r="H69" s="4" t="inlineStr">
        <is>
          <t>etli Yolcu</t>
        </is>
      </c>
      <c r="I69" s="4" t="inlineStr">
        <is>
          <t>Kilometre</t>
        </is>
      </c>
    </row>
    <row r="71">
      <c r="A71" s="4" t="inlineStr">
        <is>
          <t>Genel (P</t>
        </is>
      </c>
      <c r="B71" s="4" t="inlineStr">
        <is>
          <t>ublic)</t>
        </is>
      </c>
    </row>
  </sheetData>
  <mergeCells count="1">
    <mergeCell ref="A17:T1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15" customWidth="1" min="1" max="1"/>
    <col width="12" customWidth="1" min="2" max="2"/>
    <col width="13" customWidth="1" min="3" max="3"/>
    <col width="19" customWidth="1" min="4" max="4"/>
    <col width="21" customWidth="1" min="5" max="5"/>
    <col width="17" customWidth="1" min="6" max="6"/>
    <col width="12" customWidth="1" min="7" max="7"/>
    <col width="13" customWidth="1" min="8" max="8"/>
    <col width="20" customWidth="1" min="9" max="9"/>
    <col width="22" customWidth="1" min="10" max="10"/>
    <col width="12" customWidth="1" min="11" max="11"/>
    <col width="14" customWidth="1" min="12" max="12"/>
    <col width="20" customWidth="1" min="13" max="13"/>
    <col width="12" customWidth="1" min="14" max="14"/>
    <col width="15" customWidth="1" min="15" max="15"/>
    <col width="12" customWidth="1" min="16" max="16"/>
    <col width="12" customWidth="1" min="17" max="17"/>
    <col width="13" customWidth="1" min="18" max="18"/>
    <col width="12" customWidth="1" min="19" max="19"/>
    <col width="12" customWidth="1" min="20" max="20"/>
  </cols>
  <sheetData>
    <row r="1">
      <c r="A1" s="4" t="inlineStr">
        <is>
          <t>P E G A S</t>
        </is>
      </c>
      <c r="B1" s="4" t="inlineStr">
        <is>
          <t>U S</t>
        </is>
      </c>
      <c r="C1" s="4" t="inlineStr">
        <is>
          <t>H</t>
        </is>
      </c>
      <c r="D1" s="4" t="inlineStr">
        <is>
          <t>A V A T A Ş I</t>
        </is>
      </c>
      <c r="E1" s="4" t="inlineStr">
        <is>
          <t>M</t>
        </is>
      </c>
      <c r="F1" s="4" t="inlineStr">
        <is>
          <t>A C I L I Ğ</t>
        </is>
      </c>
      <c r="G1" s="4" t="inlineStr">
        <is>
          <t>I A</t>
        </is>
      </c>
      <c r="H1" s="4" t="inlineStr">
        <is>
          <t>. Ş</t>
        </is>
      </c>
      <c r="I1" s="4" t="inlineStr">
        <is>
          <t>.</t>
        </is>
      </c>
    </row>
    <row r="3">
      <c r="A3" s="4" t="inlineStr">
        <is>
          <t>T E M M</t>
        </is>
      </c>
      <c r="B3" s="4" t="inlineStr">
        <is>
          <t>U Z</t>
        </is>
      </c>
      <c r="C3" s="5" t="n">
        <v>2</v>
      </c>
      <c r="D3" s="4" t="inlineStr">
        <is>
          <t>0 2 4 T R A F İ</t>
        </is>
      </c>
      <c r="E3" s="4" t="inlineStr">
        <is>
          <t>K</t>
        </is>
      </c>
      <c r="F3" s="4" t="inlineStr">
        <is>
          <t>S O N U Ç</t>
        </is>
      </c>
      <c r="G3" s="4" t="inlineStr">
        <is>
          <t>L</t>
        </is>
      </c>
      <c r="H3" s="4" t="inlineStr">
        <is>
          <t>A R</t>
        </is>
      </c>
      <c r="I3" s="4" t="inlineStr">
        <is>
          <t>I</t>
        </is>
      </c>
    </row>
    <row r="5">
      <c r="A5" s="4" t="inlineStr">
        <is>
          <t>A Y L</t>
        </is>
      </c>
      <c r="B5" s="4" t="inlineStr">
        <is>
          <t>I K</t>
        </is>
      </c>
      <c r="C5" s="4" t="inlineStr">
        <is>
          <t>K</t>
        </is>
      </c>
      <c r="D5" s="4" t="inlineStr">
        <is>
          <t>Ü M Ü</t>
        </is>
      </c>
      <c r="E5" s="4" t="inlineStr">
        <is>
          <t>L A</t>
        </is>
      </c>
      <c r="F5" s="4" t="inlineStr">
        <is>
          <t>T İ F</t>
        </is>
      </c>
    </row>
    <row r="7">
      <c r="A7" s="4" t="inlineStr">
        <is>
          <t>T e</t>
        </is>
      </c>
      <c r="B7" s="4" t="inlineStr">
        <is>
          <t>m m u z T</t>
        </is>
      </c>
      <c r="C7" s="4" t="inlineStr">
        <is>
          <t>e m</t>
        </is>
      </c>
      <c r="D7" s="4" t="inlineStr">
        <is>
          <t>m u z</t>
        </is>
      </c>
      <c r="E7" s="4" t="inlineStr">
        <is>
          <t>' 2 4 / ' 2 3</t>
        </is>
      </c>
      <c r="F7" s="4" t="inlineStr">
        <is>
          <t>O c a . - T</t>
        </is>
      </c>
      <c r="G7" s="4" t="inlineStr">
        <is>
          <t>e m .</t>
        </is>
      </c>
      <c r="H7" s="4" t="inlineStr">
        <is>
          <t>O c a . - T</t>
        </is>
      </c>
      <c r="I7" s="4" t="inlineStr">
        <is>
          <t>e m</t>
        </is>
      </c>
      <c r="J7" s="4" t="inlineStr">
        <is>
          <t>.</t>
        </is>
      </c>
      <c r="K7" s="4" t="inlineStr">
        <is>
          <t>' 2</t>
        </is>
      </c>
      <c r="L7" s="4" t="inlineStr">
        <is>
          <t>4 / '</t>
        </is>
      </c>
    </row>
    <row r="9">
      <c r="A9" s="4" t="inlineStr">
        <is>
          <t>2 0 2 4</t>
        </is>
      </c>
      <c r="B9" s="5" t="n">
        <v>202</v>
      </c>
      <c r="C9" s="5" t="n">
        <v>3</v>
      </c>
      <c r="D9" s="4" t="inlineStr">
        <is>
          <t>% D e ğ .</t>
        </is>
      </c>
      <c r="E9" s="5" t="n">
        <v>202</v>
      </c>
      <c r="F9" s="5" t="n">
        <v>4</v>
      </c>
      <c r="G9" s="5" t="n">
        <v>202</v>
      </c>
      <c r="H9" s="5" t="n">
        <v>3</v>
      </c>
      <c r="I9" s="4" t="inlineStr">
        <is>
          <t>Y ı</t>
        </is>
      </c>
      <c r="J9" s="4" t="inlineStr">
        <is>
          <t>l l ı k</t>
        </is>
      </c>
      <c r="K9" s="4" t="inlineStr">
        <is>
          <t>%</t>
        </is>
      </c>
    </row>
    <row r="11">
      <c r="A11" s="4" t="inlineStr">
        <is>
          <t>M i s a f i r</t>
        </is>
      </c>
      <c r="B11" s="4" t="inlineStr">
        <is>
          <t>s</t>
        </is>
      </c>
      <c r="C11" s="4" t="inlineStr">
        <is>
          <t>a y ı s ı ,</t>
        </is>
      </c>
      <c r="D11" s="4" t="inlineStr">
        <is>
          <t>m</t>
        </is>
      </c>
      <c r="E11" s="4" t="inlineStr">
        <is>
          <t>n</t>
        </is>
      </c>
      <c r="F11" s="6" t="n">
        <v>3.55</v>
      </c>
      <c r="G11" s="6" t="n">
        <v>3.2</v>
      </c>
      <c r="H11" s="5" t="n">
        <v>4</v>
      </c>
      <c r="I11" s="7" t="n">
        <v>0.1</v>
      </c>
      <c r="J11" s="6" t="n">
        <v>20.9</v>
      </c>
      <c r="K11" s="5" t="n">
        <v>8</v>
      </c>
      <c r="L11" s="6" t="n">
        <v>17.3</v>
      </c>
      <c r="M11" s="5" t="n">
        <v>7</v>
      </c>
      <c r="N11" s="7" t="n">
        <v>0.21</v>
      </c>
    </row>
    <row r="13">
      <c r="A13" s="4" t="inlineStr">
        <is>
          <t>K o n m a</t>
        </is>
      </c>
      <c r="B13" s="5" t="n">
        <v>1</v>
      </c>
      <c r="C13" s="5" t="n">
        <v>9215</v>
      </c>
      <c r="D13" s="6" t="n">
        <v>18.4</v>
      </c>
      <c r="E13" s="5" t="n">
        <v>69</v>
      </c>
      <c r="F13" s="7" t="n">
        <v>0.04</v>
      </c>
      <c r="G13" s="5" t="n">
        <v>116</v>
      </c>
      <c r="H13" s="5" t="n">
        <v>69</v>
      </c>
      <c r="I13" s="5" t="n">
        <v>104</v>
      </c>
      <c r="J13" s="5" t="n">
        <v>68</v>
      </c>
      <c r="K13" s="7" t="n">
        <v>0.12</v>
      </c>
    </row>
    <row r="15">
      <c r="A15" s="4" t="inlineStr">
        <is>
          <t>K o lt u k</t>
        </is>
      </c>
      <c r="B15" s="4" t="inlineStr">
        <is>
          <t>s</t>
        </is>
      </c>
      <c r="C15" s="4" t="inlineStr">
        <is>
          <t>a y ı s ı ,</t>
        </is>
      </c>
      <c r="D15" s="4" t="inlineStr">
        <is>
          <t>m n</t>
        </is>
      </c>
      <c r="E15" s="6" t="n">
        <v>3.99</v>
      </c>
      <c r="F15" s="6" t="n">
        <v>3.7</v>
      </c>
      <c r="G15" s="5" t="n">
        <v>3</v>
      </c>
      <c r="H15" s="7" t="n">
        <v>0.07000000000000001</v>
      </c>
      <c r="I15" s="6" t="n">
        <v>23.9</v>
      </c>
      <c r="J15" s="5" t="n">
        <v>4</v>
      </c>
      <c r="K15" s="6" t="n">
        <v>20.8</v>
      </c>
      <c r="L15" s="5" t="n">
        <v>2</v>
      </c>
      <c r="M15" s="7" t="n">
        <v>0.15</v>
      </c>
    </row>
    <row r="17">
      <c r="A17" s="4" t="inlineStr">
        <is>
          <t>T o p l a</t>
        </is>
      </c>
      <c r="B17" s="4" t="inlineStr">
        <is>
          <t>m</t>
        </is>
      </c>
    </row>
    <row r="18">
      <c r="A18" s="4" t="inlineStr">
        <is>
          <t>D o l u l u</t>
        </is>
      </c>
      <c r="B18" s="4" t="inlineStr">
        <is>
          <t>k</t>
        </is>
      </c>
      <c r="C18" s="4" t="inlineStr">
        <is>
          <t>O r a n ı</t>
        </is>
      </c>
      <c r="D18" s="5" t="n">
        <v>8</v>
      </c>
      <c r="E18" s="7" t="n">
        <v>0.08900000000000001</v>
      </c>
      <c r="F18" s="6" t="n">
        <v>87.09999999999999</v>
      </c>
      <c r="G18" s="4" t="inlineStr">
        <is>
          <t>%</t>
        </is>
      </c>
      <c r="H18" s="8" t="n">
        <v>1.9</v>
      </c>
      <c r="I18" s="6" t="n">
        <v>87.59999999999999</v>
      </c>
      <c r="J18" s="4" t="inlineStr">
        <is>
          <t>%</t>
        </is>
      </c>
      <c r="K18" s="6" t="n">
        <v>83.40000000000001</v>
      </c>
      <c r="L18" s="4" t="inlineStr">
        <is>
          <t>%</t>
        </is>
      </c>
      <c r="M18" s="6" t="n">
        <v>4.2</v>
      </c>
    </row>
    <row r="20">
      <c r="A20" s="4" t="inlineStr">
        <is>
          <t>A S K (</t>
        </is>
      </c>
      <c r="B20" s="4" t="inlineStr">
        <is>
          <t>m l</t>
        </is>
      </c>
      <c r="C20" s="4" t="inlineStr">
        <is>
          <t>n k m )</t>
        </is>
      </c>
      <c r="D20" s="5" t="n">
        <v>6391</v>
      </c>
      <c r="E20" s="6" t="n">
        <v>5.9</v>
      </c>
      <c r="F20" s="5" t="n">
        <v>29</v>
      </c>
      <c r="G20" s="7" t="n">
        <v>0.08</v>
      </c>
      <c r="H20" s="6" t="n">
        <v>37.4</v>
      </c>
      <c r="I20" s="5" t="n">
        <v>80</v>
      </c>
      <c r="J20" s="5" t="n">
        <v>32</v>
      </c>
      <c r="K20" s="5" t="n">
        <v>85</v>
      </c>
      <c r="L20" s="7" t="n">
        <v>0.17</v>
      </c>
    </row>
    <row r="22">
      <c r="A22" s="4" t="inlineStr">
        <is>
          <t>K o n m a</t>
        </is>
      </c>
      <c r="B22" s="4" t="inlineStr">
        <is>
          <t>b</t>
        </is>
      </c>
      <c r="C22" s="4" t="inlineStr">
        <is>
          <t>a ş ı n a</t>
        </is>
      </c>
      <c r="D22" s="4" t="inlineStr">
        <is>
          <t>M i</t>
        </is>
      </c>
      <c r="E22" s="4" t="inlineStr">
        <is>
          <t>s a</t>
        </is>
      </c>
      <c r="F22" s="4" t="inlineStr">
        <is>
          <t>f i r</t>
        </is>
      </c>
      <c r="G22" s="5" t="n">
        <v>185</v>
      </c>
      <c r="H22" s="5" t="n">
        <v>17</v>
      </c>
      <c r="I22" s="5" t="n">
        <v>6</v>
      </c>
      <c r="J22" s="7" t="n">
        <v>0.05</v>
      </c>
      <c r="K22" s="5" t="n">
        <v>18</v>
      </c>
      <c r="L22" s="5" t="n">
        <v>1</v>
      </c>
      <c r="M22" s="5" t="n">
        <v>16</v>
      </c>
      <c r="N22" s="5" t="n">
        <v>7</v>
      </c>
      <c r="O22" s="7" t="n">
        <v>0.08</v>
      </c>
    </row>
    <row r="24">
      <c r="A24" s="4" t="inlineStr">
        <is>
          <t>M i s a f i r</t>
        </is>
      </c>
      <c r="B24" s="4" t="inlineStr">
        <is>
          <t>s</t>
        </is>
      </c>
      <c r="C24" s="4" t="inlineStr">
        <is>
          <t>a y ı s ı ,</t>
        </is>
      </c>
      <c r="D24" s="4" t="inlineStr">
        <is>
          <t>m</t>
        </is>
      </c>
      <c r="E24" s="4" t="inlineStr">
        <is>
          <t>n</t>
        </is>
      </c>
      <c r="F24" s="6" t="n">
        <v>1.29</v>
      </c>
      <c r="G24" s="6" t="n">
        <v>1.1</v>
      </c>
      <c r="H24" s="5" t="n">
        <v>6</v>
      </c>
      <c r="I24" s="7" t="n">
        <v>0.11</v>
      </c>
      <c r="J24" s="6" t="n">
        <v>7.9</v>
      </c>
      <c r="K24" s="5" t="n">
        <v>9</v>
      </c>
      <c r="L24" s="6" t="n">
        <v>6.5</v>
      </c>
      <c r="M24" s="5" t="n">
        <v>1</v>
      </c>
      <c r="N24" s="7" t="n">
        <v>0.23</v>
      </c>
    </row>
    <row r="26">
      <c r="A26" s="4" t="inlineStr">
        <is>
          <t>K o n m a</t>
        </is>
      </c>
      <c r="B26" s="5" t="n">
        <v>6480</v>
      </c>
      <c r="C26" s="5" t="n">
        <v>6</v>
      </c>
      <c r="D26" s="5" t="n">
        <v>92</v>
      </c>
      <c r="E26" s="7" t="n">
        <v>0.06</v>
      </c>
      <c r="F26" s="6" t="n">
        <v>42.6</v>
      </c>
      <c r="G26" s="5" t="n">
        <v>86</v>
      </c>
      <c r="H26" s="6" t="n">
        <v>38.2</v>
      </c>
      <c r="I26" s="5" t="n">
        <v>70</v>
      </c>
      <c r="J26" s="7" t="n">
        <v>0.12</v>
      </c>
    </row>
    <row r="28">
      <c r="A28" s="4" t="inlineStr">
        <is>
          <t>K o lt u k</t>
        </is>
      </c>
      <c r="B28" s="4" t="inlineStr">
        <is>
          <t>s</t>
        </is>
      </c>
      <c r="C28" s="4" t="inlineStr">
        <is>
          <t>a y ı s ı ,</t>
        </is>
      </c>
      <c r="D28" s="4" t="inlineStr">
        <is>
          <t>m n</t>
        </is>
      </c>
      <c r="E28" s="6" t="n">
        <v>1.36</v>
      </c>
      <c r="F28" s="6" t="n">
        <v>1.2</v>
      </c>
      <c r="G28" s="5" t="n">
        <v>3</v>
      </c>
      <c r="H28" s="7" t="n">
        <v>0.11</v>
      </c>
      <c r="I28" s="6" t="n">
        <v>8.699999999999999</v>
      </c>
      <c r="J28" s="5" t="n">
        <v>5</v>
      </c>
      <c r="K28" s="6" t="n">
        <v>7.5</v>
      </c>
      <c r="L28" s="5" t="n">
        <v>4</v>
      </c>
      <c r="M28" s="7" t="n">
        <v>0.16</v>
      </c>
    </row>
    <row r="30">
      <c r="A30" s="4" t="inlineStr">
        <is>
          <t>İ ç H a t l</t>
        </is>
      </c>
      <c r="B30" s="4" t="inlineStr">
        <is>
          <t>a r</t>
        </is>
      </c>
    </row>
    <row r="31">
      <c r="A31" s="4" t="inlineStr">
        <is>
          <t>D o l u l u</t>
        </is>
      </c>
      <c r="B31" s="4" t="inlineStr">
        <is>
          <t>k</t>
        </is>
      </c>
      <c r="C31" s="4" t="inlineStr">
        <is>
          <t>O r a n ı</t>
        </is>
      </c>
      <c r="D31" s="5" t="n">
        <v>9</v>
      </c>
      <c r="E31" s="7" t="n">
        <v>0.046</v>
      </c>
      <c r="F31" s="6" t="n">
        <v>94.2</v>
      </c>
      <c r="G31" s="4" t="inlineStr">
        <is>
          <t>%</t>
        </is>
      </c>
      <c r="H31" s="8" t="n">
        <v>0.4</v>
      </c>
      <c r="I31" s="6" t="n">
        <v>91.40000000000001</v>
      </c>
      <c r="J31" s="4" t="inlineStr">
        <is>
          <t>%</t>
        </is>
      </c>
      <c r="K31" s="6" t="n">
        <v>86.3</v>
      </c>
      <c r="L31" s="4" t="inlineStr">
        <is>
          <t>%</t>
        </is>
      </c>
      <c r="M31" s="5" t="n">
        <v>5</v>
      </c>
    </row>
    <row r="33">
      <c r="A33" s="4" t="inlineStr">
        <is>
          <t>A S K (</t>
        </is>
      </c>
      <c r="B33" s="4" t="inlineStr">
        <is>
          <t>m l</t>
        </is>
      </c>
      <c r="C33" s="4" t="inlineStr">
        <is>
          <t>n k m )</t>
        </is>
      </c>
      <c r="D33" s="5" t="n">
        <v>995</v>
      </c>
      <c r="E33" s="5" t="n">
        <v>87</v>
      </c>
      <c r="F33" s="5" t="n">
        <v>4</v>
      </c>
      <c r="G33" s="7" t="n">
        <v>0.14</v>
      </c>
      <c r="H33" s="6" t="n">
        <v>6.52</v>
      </c>
      <c r="I33" s="5" t="n">
        <v>7</v>
      </c>
      <c r="J33" s="6" t="n">
        <v>5.52</v>
      </c>
      <c r="K33" s="5" t="n">
        <v>3</v>
      </c>
      <c r="L33" s="7" t="n">
        <v>0.18</v>
      </c>
    </row>
    <row r="35">
      <c r="A35" s="4" t="inlineStr">
        <is>
          <t>K o n m a</t>
        </is>
      </c>
      <c r="B35" s="4" t="inlineStr">
        <is>
          <t>b</t>
        </is>
      </c>
      <c r="C35" s="4" t="inlineStr">
        <is>
          <t>a ş ı n a</t>
        </is>
      </c>
      <c r="D35" s="4" t="inlineStr">
        <is>
          <t>M i</t>
        </is>
      </c>
      <c r="E35" s="4" t="inlineStr">
        <is>
          <t>s a</t>
        </is>
      </c>
      <c r="F35" s="4" t="inlineStr">
        <is>
          <t>f i r</t>
        </is>
      </c>
      <c r="G35" s="5" t="n">
        <v>199</v>
      </c>
      <c r="H35" s="5" t="n">
        <v>19</v>
      </c>
      <c r="I35" s="5" t="n">
        <v>0</v>
      </c>
      <c r="J35" s="7" t="n">
        <v>0.04</v>
      </c>
      <c r="K35" s="5" t="n">
        <v>18</v>
      </c>
      <c r="L35" s="5" t="n">
        <v>7</v>
      </c>
      <c r="M35" s="5" t="n">
        <v>17</v>
      </c>
      <c r="N35" s="5" t="n">
        <v>0</v>
      </c>
      <c r="O35" s="7" t="n">
        <v>0.1</v>
      </c>
    </row>
    <row r="37">
      <c r="A37" s="4" t="inlineStr">
        <is>
          <t>M i s a f i r</t>
        </is>
      </c>
      <c r="B37" s="4" t="inlineStr">
        <is>
          <t>s</t>
        </is>
      </c>
      <c r="C37" s="4" t="inlineStr">
        <is>
          <t>a y ı s ı ,</t>
        </is>
      </c>
      <c r="D37" s="4" t="inlineStr">
        <is>
          <t>m</t>
        </is>
      </c>
      <c r="E37" s="4" t="inlineStr">
        <is>
          <t>n</t>
        </is>
      </c>
      <c r="F37" s="6" t="n">
        <v>2.26</v>
      </c>
      <c r="G37" s="5" t="n">
        <v>2</v>
      </c>
      <c r="H37" s="5" t="n">
        <v>8</v>
      </c>
      <c r="I37" s="7" t="n">
        <v>0.09</v>
      </c>
      <c r="J37" s="6" t="n">
        <v>12.9</v>
      </c>
      <c r="K37" s="5" t="n">
        <v>9</v>
      </c>
      <c r="L37" s="6" t="n">
        <v>10.8</v>
      </c>
      <c r="M37" s="5" t="n">
        <v>6</v>
      </c>
      <c r="N37" s="7" t="n">
        <v>0.2</v>
      </c>
    </row>
    <row r="39">
      <c r="A39" s="4" t="inlineStr">
        <is>
          <t>K o n m a</t>
        </is>
      </c>
      <c r="B39" s="5" t="n">
        <v>1</v>
      </c>
      <c r="C39" s="5" t="n">
        <v>2735</v>
      </c>
      <c r="D39" s="6" t="n">
        <v>12.3</v>
      </c>
      <c r="E39" s="5" t="n">
        <v>77</v>
      </c>
      <c r="F39" s="7" t="n">
        <v>0.03</v>
      </c>
      <c r="G39" s="6" t="n">
        <v>73.3</v>
      </c>
      <c r="H39" s="5" t="n">
        <v>83</v>
      </c>
      <c r="I39" s="6" t="n">
        <v>65.7</v>
      </c>
      <c r="J39" s="5" t="n">
        <v>98</v>
      </c>
      <c r="K39" s="7" t="n">
        <v>0.12</v>
      </c>
    </row>
    <row r="41">
      <c r="A41" s="4" t="inlineStr">
        <is>
          <t>K o lt u k</t>
        </is>
      </c>
      <c r="B41" s="4" t="inlineStr">
        <is>
          <t>s</t>
        </is>
      </c>
      <c r="C41" s="4" t="inlineStr">
        <is>
          <t>a y ı s ı ,</t>
        </is>
      </c>
      <c r="D41" s="4" t="inlineStr">
        <is>
          <t>m n</t>
        </is>
      </c>
      <c r="E41" s="6" t="n">
        <v>2.63</v>
      </c>
      <c r="F41" s="6" t="n">
        <v>2.5</v>
      </c>
      <c r="G41" s="5" t="n">
        <v>0</v>
      </c>
      <c r="H41" s="7" t="n">
        <v>0.05</v>
      </c>
      <c r="I41" s="6" t="n">
        <v>15.2</v>
      </c>
      <c r="J41" s="5" t="n">
        <v>0</v>
      </c>
      <c r="K41" s="6" t="n">
        <v>13.2</v>
      </c>
      <c r="L41" s="5" t="n">
        <v>8</v>
      </c>
      <c r="M41" s="7" t="n">
        <v>0.14</v>
      </c>
    </row>
    <row r="43">
      <c r="A43" s="4" t="inlineStr">
        <is>
          <t>D ı ş H a</t>
        </is>
      </c>
      <c r="B43" s="4" t="inlineStr">
        <is>
          <t>t l a</t>
        </is>
      </c>
      <c r="C43" s="4" t="inlineStr">
        <is>
          <t>r *</t>
        </is>
      </c>
    </row>
    <row r="44">
      <c r="A44" s="4" t="inlineStr">
        <is>
          <t>D o l u l u</t>
        </is>
      </c>
      <c r="B44" s="4" t="inlineStr">
        <is>
          <t>k</t>
        </is>
      </c>
      <c r="C44" s="4" t="inlineStr">
        <is>
          <t>O r a n ı</t>
        </is>
      </c>
      <c r="D44" s="5" t="n">
        <v>8</v>
      </c>
      <c r="E44" s="7" t="n">
        <v>0.06</v>
      </c>
      <c r="F44" s="6" t="n">
        <v>83.5</v>
      </c>
      <c r="G44" s="4" t="inlineStr">
        <is>
          <t>%</t>
        </is>
      </c>
      <c r="H44" s="8" t="n">
        <v>2.5</v>
      </c>
      <c r="I44" s="6" t="n">
        <v>85.40000000000001</v>
      </c>
      <c r="J44" s="4" t="inlineStr">
        <is>
          <t>%</t>
        </is>
      </c>
      <c r="K44" s="6" t="n">
        <v>81.8</v>
      </c>
      <c r="L44" s="4" t="inlineStr">
        <is>
          <t>%</t>
        </is>
      </c>
      <c r="M44" s="6" t="n">
        <v>3.6</v>
      </c>
    </row>
    <row r="46">
      <c r="A46" s="4" t="inlineStr">
        <is>
          <t>A S K (</t>
        </is>
      </c>
      <c r="B46" s="4" t="inlineStr">
        <is>
          <t>m l</t>
        </is>
      </c>
      <c r="C46" s="4" t="inlineStr">
        <is>
          <t>n k m )</t>
        </is>
      </c>
      <c r="D46" s="5" t="n">
        <v>5396</v>
      </c>
      <c r="E46" s="5" t="n">
        <v>5</v>
      </c>
      <c r="F46" s="5" t="n">
        <v>55</v>
      </c>
      <c r="G46" s="7" t="n">
        <v>0.07000000000000001</v>
      </c>
      <c r="H46" s="6" t="n">
        <v>30.9</v>
      </c>
      <c r="I46" s="5" t="n">
        <v>52</v>
      </c>
      <c r="J46" s="6" t="n">
        <v>26.5</v>
      </c>
      <c r="K46" s="5" t="n">
        <v>63</v>
      </c>
      <c r="L46" s="7" t="n">
        <v>0.17</v>
      </c>
    </row>
    <row r="48">
      <c r="A48" s="4" t="inlineStr">
        <is>
          <t>K o n m a</t>
        </is>
      </c>
      <c r="B48" s="4" t="inlineStr">
        <is>
          <t>b</t>
        </is>
      </c>
      <c r="C48" s="4" t="inlineStr">
        <is>
          <t>a ş ı n a</t>
        </is>
      </c>
      <c r="D48" s="4" t="inlineStr">
        <is>
          <t>M i</t>
        </is>
      </c>
      <c r="E48" s="4" t="inlineStr">
        <is>
          <t>s a</t>
        </is>
      </c>
      <c r="F48" s="4" t="inlineStr">
        <is>
          <t>f i r</t>
        </is>
      </c>
      <c r="G48" s="5" t="n">
        <v>178</v>
      </c>
      <c r="H48" s="5" t="n">
        <v>16</v>
      </c>
      <c r="I48" s="5" t="n">
        <v>8</v>
      </c>
      <c r="J48" s="7" t="n">
        <v>0.06</v>
      </c>
      <c r="K48" s="5" t="n">
        <v>17</v>
      </c>
      <c r="L48" s="5" t="n">
        <v>7</v>
      </c>
      <c r="M48" s="5" t="n">
        <v>16</v>
      </c>
      <c r="N48" s="5" t="n">
        <v>5</v>
      </c>
      <c r="O48" s="7" t="n">
        <v>0.07000000000000001</v>
      </c>
    </row>
    <row r="50">
      <c r="A50" s="4" t="inlineStr">
        <is>
          <t>* C h a r t e</t>
        </is>
      </c>
      <c r="B50" s="4" t="inlineStr">
        <is>
          <t>r d a</t>
        </is>
      </c>
      <c r="C50" s="4" t="inlineStr">
        <is>
          <t>h il</t>
        </is>
      </c>
    </row>
    <row r="52">
      <c r="A52" s="4" t="inlineStr">
        <is>
          <t>K a r b o</t>
        </is>
      </c>
      <c r="B52" s="4" t="inlineStr">
        <is>
          <t>n E</t>
        </is>
      </c>
      <c r="C52" s="4" t="inlineStr">
        <is>
          <t>m</t>
        </is>
      </c>
      <c r="D52" s="4" t="inlineStr">
        <is>
          <t>i s y o n u İ s t</t>
        </is>
      </c>
      <c r="E52" s="4" t="inlineStr">
        <is>
          <t>a</t>
        </is>
      </c>
      <c r="F52" s="4" t="inlineStr">
        <is>
          <t>t i s t i k l e</t>
        </is>
      </c>
      <c r="G52" s="4" t="inlineStr">
        <is>
          <t>r i</t>
        </is>
      </c>
    </row>
    <row r="54">
      <c r="A54" s="4" t="inlineStr">
        <is>
          <t>A Y L I K</t>
        </is>
      </c>
      <c r="B54" s="4" t="inlineStr">
        <is>
          <t>Ş</t>
        </is>
      </c>
      <c r="C54" s="4" t="inlineStr">
        <is>
          <t>u b . ' 2 4</t>
        </is>
      </c>
      <c r="D54" s="4" t="inlineStr">
        <is>
          <t>M a r .</t>
        </is>
      </c>
      <c r="E54" s="4" t="inlineStr">
        <is>
          <t>' 2 4</t>
        </is>
      </c>
      <c r="F54" s="4" t="inlineStr">
        <is>
          <t>N i s . ' 2 4</t>
        </is>
      </c>
      <c r="G54" s="4" t="inlineStr">
        <is>
          <t>M a y . '</t>
        </is>
      </c>
      <c r="H54" s="5" t="n">
        <v>24</v>
      </c>
      <c r="I54" s="4" t="inlineStr">
        <is>
          <t>H a z . '</t>
        </is>
      </c>
      <c r="J54" s="5" t="n">
        <v>24</v>
      </c>
      <c r="K54" s="4" t="inlineStr">
        <is>
          <t>T e</t>
        </is>
      </c>
      <c r="L54" s="4" t="inlineStr">
        <is>
          <t>m . '</t>
        </is>
      </c>
    </row>
    <row r="56">
      <c r="A56" s="4" t="inlineStr">
        <is>
          <t>C O 2 g r</t>
        </is>
      </c>
      <c r="B56" s="4" t="inlineStr">
        <is>
          <t>a m</t>
        </is>
      </c>
      <c r="C56" s="4" t="inlineStr">
        <is>
          <t>/ R</t>
        </is>
      </c>
      <c r="D56" s="4" t="inlineStr">
        <is>
          <t>P K</t>
        </is>
      </c>
      <c r="E56" s="6" t="n">
        <v>57.2</v>
      </c>
      <c r="F56" s="5" t="n">
        <v>57</v>
      </c>
      <c r="G56" s="5" t="n">
        <v>2</v>
      </c>
      <c r="H56" s="6" t="n">
        <v>57.2</v>
      </c>
      <c r="I56" s="6" t="n">
        <v>57.9</v>
      </c>
      <c r="J56" s="5" t="n">
        <v>60</v>
      </c>
      <c r="K56" s="5" t="n">
        <v>4</v>
      </c>
      <c r="L56" s="5" t="n">
        <v>59</v>
      </c>
    </row>
    <row r="58">
      <c r="A58" s="4" t="inlineStr">
        <is>
          <t>K Ü M Ü</t>
        </is>
      </c>
      <c r="B58" s="4" t="inlineStr">
        <is>
          <t>L A</t>
        </is>
      </c>
      <c r="C58" s="4" t="inlineStr">
        <is>
          <t>T İ</t>
        </is>
      </c>
      <c r="D58" s="4" t="inlineStr">
        <is>
          <t>F</t>
        </is>
      </c>
      <c r="E58" s="5" t="n">
        <v>2019</v>
      </c>
      <c r="F58" s="5" t="n">
        <v>202</v>
      </c>
      <c r="G58" s="5" t="n">
        <v>0</v>
      </c>
      <c r="H58" s="5" t="n">
        <v>2021</v>
      </c>
      <c r="I58" s="5" t="n">
        <v>202</v>
      </c>
      <c r="J58" s="5" t="n">
        <v>2</v>
      </c>
      <c r="K58" s="5" t="n">
        <v>202</v>
      </c>
      <c r="L58" s="5" t="n">
        <v>3</v>
      </c>
      <c r="M58" s="5" t="n">
        <v>7</v>
      </c>
      <c r="N58" s="4" t="inlineStr">
        <is>
          <t>A 2</t>
        </is>
      </c>
    </row>
    <row r="60">
      <c r="A60" s="4" t="inlineStr">
        <is>
          <t>C O 2 g r</t>
        </is>
      </c>
      <c r="B60" s="4" t="inlineStr">
        <is>
          <t>a m</t>
        </is>
      </c>
      <c r="C60" s="4" t="inlineStr">
        <is>
          <t>/ R</t>
        </is>
      </c>
      <c r="D60" s="4" t="inlineStr">
        <is>
          <t>P K</t>
        </is>
      </c>
      <c r="E60" s="6" t="n">
        <v>65.09999999999999</v>
      </c>
      <c r="F60" s="5" t="n">
        <v>71</v>
      </c>
      <c r="G60" s="5" t="n">
        <v>3</v>
      </c>
      <c r="H60" s="5" t="n">
        <v>71</v>
      </c>
      <c r="I60" s="6" t="n">
        <v>62.1</v>
      </c>
      <c r="J60" s="5" t="n">
        <v>61</v>
      </c>
      <c r="K60" s="5" t="n">
        <v>3</v>
      </c>
      <c r="L60" s="5" t="n">
        <v>58</v>
      </c>
    </row>
    <row r="62">
      <c r="A62" s="3" t="inlineStr">
        <is>
          <t>Karbon E</t>
        </is>
      </c>
      <c r="B62" s="3" t="inlineStr">
        <is>
          <t>misy</t>
        </is>
      </c>
      <c r="C62" s="3" t="inlineStr">
        <is>
          <t>on</t>
        </is>
      </c>
      <c r="D62" s="3" t="inlineStr">
        <is>
          <t>u İstatistikleri</t>
        </is>
      </c>
      <c r="E62" s="3" t="inlineStr">
        <is>
          <t>nd</t>
        </is>
      </c>
      <c r="F62" s="3" t="inlineStr">
        <is>
          <t>e (grCO2</t>
        </is>
      </c>
      <c r="G62" s="3" t="inlineStr">
        <is>
          <t>/RP</t>
        </is>
      </c>
      <c r="H62" s="3" t="inlineStr">
        <is>
          <t>K)</t>
        </is>
      </c>
      <c r="I62" s="3" t="inlineStr">
        <is>
          <t>jet yakıtı emisyon</t>
        </is>
      </c>
      <c r="J62" s="3" t="inlineStr">
        <is>
          <t>katsayısı baz yıl v</t>
        </is>
      </c>
      <c r="K62" s="3" t="inlineStr">
        <is>
          <t>e tüm</t>
        </is>
      </c>
      <c r="L62" s="3" t="inlineStr">
        <is>
          <t>raporlanan</t>
        </is>
      </c>
      <c r="M62" s="3" t="inlineStr">
        <is>
          <t>dönemler için 3,16</t>
        </is>
      </c>
      <c r="N62" s="3" t="inlineStr">
        <is>
          <t>olarak ku</t>
        </is>
      </c>
      <c r="O62" s="3" t="inlineStr">
        <is>
          <t>llanılmıştır.</t>
        </is>
      </c>
      <c r="P62" s="3" t="inlineStr">
        <is>
          <t>2024 Oc</t>
        </is>
      </c>
      <c r="Q62" s="3" t="inlineStr">
        <is>
          <t>ak</t>
        </is>
      </c>
      <c r="R62" s="3" t="inlineStr">
        <is>
          <t>ayı itibari</t>
        </is>
      </c>
      <c r="S62" s="3" t="inlineStr">
        <is>
          <t>yle</t>
        </is>
      </c>
      <c r="T62" s="3" t="inlineStr">
        <is>
          <t>3,16</t>
        </is>
      </c>
    </row>
    <row r="63">
      <c r="A63" s="4" t="inlineStr">
        <is>
          <t>emisyon f</t>
        </is>
      </c>
      <c r="B63" s="4" t="inlineStr">
        <is>
          <t>aktö</t>
        </is>
      </c>
      <c r="C63" s="4" t="inlineStr">
        <is>
          <t>rün</t>
        </is>
      </c>
      <c r="D63" s="4" t="inlineStr">
        <is>
          <t>e geçiş gerçe</t>
        </is>
      </c>
      <c r="E63" s="4" t="inlineStr">
        <is>
          <t>kl</t>
        </is>
      </c>
      <c r="F63" s="4" t="inlineStr">
        <is>
          <t>eştirilmiş</t>
        </is>
      </c>
      <c r="G63" s="4" t="inlineStr">
        <is>
          <t>ve</t>
        </is>
      </c>
      <c r="H63" s="4" t="inlineStr">
        <is>
          <t>bu</t>
        </is>
      </c>
      <c r="I63" s="4" t="inlineStr">
        <is>
          <t>değere göre geçm</t>
        </is>
      </c>
      <c r="J63" s="4" t="inlineStr">
        <is>
          <t>iş yıllara ait aylık</t>
        </is>
      </c>
      <c r="K63" s="4" t="inlineStr">
        <is>
          <t>emisy</t>
        </is>
      </c>
      <c r="L63" s="4" t="inlineStr">
        <is>
          <t>on değerleri</t>
        </is>
      </c>
      <c r="M63" s="4" t="inlineStr">
        <is>
          <t>güncellenerek payl</t>
        </is>
      </c>
      <c r="N63" s="4" t="inlineStr">
        <is>
          <t>aşılmıştır</t>
        </is>
      </c>
      <c r="O63" s="4" t="inlineStr">
        <is>
          <t>.</t>
        </is>
      </c>
    </row>
    <row r="65">
      <c r="A65" s="4" t="inlineStr">
        <is>
          <t>Arz edile</t>
        </is>
      </c>
      <c r="B65" s="4" t="inlineStr">
        <is>
          <t>n K</t>
        </is>
      </c>
      <c r="C65" s="4" t="inlineStr">
        <is>
          <t>olt</t>
        </is>
      </c>
      <c r="D65" s="4" t="inlineStr">
        <is>
          <t>uk Kilometr</t>
        </is>
      </c>
      <c r="E65" s="4" t="inlineStr">
        <is>
          <t>e</t>
        </is>
      </c>
      <c r="F65" s="4" t="inlineStr">
        <is>
          <t>(ASK) =</t>
        </is>
      </c>
      <c r="G65" s="4" t="inlineStr">
        <is>
          <t>Uç</t>
        </is>
      </c>
      <c r="H65" s="4" t="inlineStr">
        <is>
          <t>uş</t>
        </is>
      </c>
      <c r="I65" s="4" t="inlineStr">
        <is>
          <t>a arz edilen kolt</t>
        </is>
      </c>
      <c r="J65" s="4" t="inlineStr">
        <is>
          <t>uk sayısı x Orta</t>
        </is>
      </c>
      <c r="K65" s="4" t="inlineStr">
        <is>
          <t>lama</t>
        </is>
      </c>
      <c r="L65" s="4" t="inlineStr">
        <is>
          <t>Uçuş Mes</t>
        </is>
      </c>
      <c r="M65" s="4" t="inlineStr">
        <is>
          <t>afesi</t>
        </is>
      </c>
    </row>
    <row r="67">
      <c r="A67" s="4" t="inlineStr">
        <is>
          <t>Doluluk</t>
        </is>
      </c>
      <c r="B67" s="4" t="inlineStr">
        <is>
          <t>Ora</t>
        </is>
      </c>
      <c r="C67" s="4" t="inlineStr">
        <is>
          <t>nı</t>
        </is>
      </c>
      <c r="D67" s="4">
        <f> Biletlenm</f>
        <v/>
      </c>
      <c r="E67" s="4" t="inlineStr">
        <is>
          <t>iş</t>
        </is>
      </c>
      <c r="F67" s="4" t="inlineStr">
        <is>
          <t>misafir</t>
        </is>
      </c>
      <c r="G67" s="4" t="inlineStr">
        <is>
          <t>sa</t>
        </is>
      </c>
      <c r="H67" s="4" t="inlineStr">
        <is>
          <t>yısı</t>
        </is>
      </c>
      <c r="I67" s="4" t="inlineStr">
        <is>
          <t>/ Toplam koltu</t>
        </is>
      </c>
      <c r="J67" s="4" t="inlineStr">
        <is>
          <t>k sayısı</t>
        </is>
      </c>
    </row>
    <row r="69">
      <c r="A69" s="4" t="inlineStr">
        <is>
          <t>RPK (Rev</t>
        </is>
      </c>
      <c r="B69" s="4" t="inlineStr">
        <is>
          <t>en</t>
        </is>
      </c>
      <c r="C69" s="4" t="inlineStr">
        <is>
          <t>ue</t>
        </is>
      </c>
      <c r="D69" s="4" t="inlineStr">
        <is>
          <t>Passenger</t>
        </is>
      </c>
      <c r="E69" s="4" t="inlineStr">
        <is>
          <t>Kil</t>
        </is>
      </c>
      <c r="F69" s="4" t="inlineStr">
        <is>
          <t>ometer)</t>
        </is>
      </c>
      <c r="G69" s="4" t="inlineStr">
        <is>
          <t>: Ü</t>
        </is>
      </c>
      <c r="H69" s="4" t="inlineStr">
        <is>
          <t>cr</t>
        </is>
      </c>
      <c r="I69" s="4" t="inlineStr">
        <is>
          <t>etli Yolcu Kilome</t>
        </is>
      </c>
      <c r="J69" s="4" t="inlineStr">
        <is>
          <t>tre</t>
        </is>
      </c>
    </row>
    <row r="71">
      <c r="A71" s="4" t="inlineStr">
        <is>
          <t>Genel (</t>
        </is>
      </c>
      <c r="B71" s="4" t="inlineStr">
        <is>
          <t>Public)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71"/>
  <sheetViews>
    <sheetView workbookViewId="0">
      <selection activeCell="A1" sqref="A1"/>
    </sheetView>
  </sheetViews>
  <sheetFormatPr baseColWidth="8" defaultRowHeight="15"/>
  <cols>
    <col width="15" customWidth="1" min="1" max="1"/>
    <col width="12" customWidth="1" min="2" max="2"/>
    <col width="13" customWidth="1" min="3" max="3"/>
    <col width="18" customWidth="1" min="4" max="4"/>
    <col width="19" customWidth="1" min="5" max="5"/>
    <col width="17" customWidth="1" min="6" max="6"/>
    <col width="12" customWidth="1" min="7" max="7"/>
    <col width="12" customWidth="1" min="8" max="8"/>
    <col width="16" customWidth="1" min="9" max="9"/>
    <col width="12" customWidth="1" min="10" max="10"/>
    <col width="12" customWidth="1" min="11" max="11"/>
    <col width="16" customWidth="1" min="12" max="12"/>
    <col width="13" customWidth="1" min="13" max="13"/>
    <col width="25" customWidth="1" min="14" max="14"/>
    <col width="12" customWidth="1" min="15" max="15"/>
    <col width="17" customWidth="1" min="16" max="16"/>
    <col width="12" customWidth="1" min="17" max="17"/>
    <col width="12" customWidth="1" min="18" max="18"/>
    <col width="14" customWidth="1" min="19" max="19"/>
    <col width="12" customWidth="1" min="20" max="20"/>
    <col width="12" customWidth="1" min="21" max="21"/>
  </cols>
  <sheetData>
    <row r="1">
      <c r="A1" s="4" t="inlineStr">
        <is>
          <t>P E G A S</t>
        </is>
      </c>
      <c r="B1" s="4" t="inlineStr">
        <is>
          <t>U S</t>
        </is>
      </c>
      <c r="C1" s="4" t="inlineStr">
        <is>
          <t>H</t>
        </is>
      </c>
      <c r="D1" s="4" t="inlineStr">
        <is>
          <t>A V A T A Ş I</t>
        </is>
      </c>
      <c r="E1" s="4" t="inlineStr">
        <is>
          <t>M</t>
        </is>
      </c>
      <c r="F1" s="4" t="inlineStr">
        <is>
          <t>A C I L I Ğ</t>
        </is>
      </c>
      <c r="G1" s="4" t="inlineStr">
        <is>
          <t>I A</t>
        </is>
      </c>
      <c r="H1" s="4" t="inlineStr">
        <is>
          <t>. Ş</t>
        </is>
      </c>
      <c r="I1" s="4" t="inlineStr">
        <is>
          <t>.</t>
        </is>
      </c>
    </row>
    <row r="3">
      <c r="A3" s="4" t="inlineStr">
        <is>
          <t>A Ğ U S T</t>
        </is>
      </c>
      <c r="B3" s="4" t="inlineStr">
        <is>
          <t>O S</t>
        </is>
      </c>
      <c r="C3" s="5" t="n">
        <v>2</v>
      </c>
      <c r="D3" s="4" t="inlineStr">
        <is>
          <t>0 2 4 T R A F İ</t>
        </is>
      </c>
      <c r="E3" s="4" t="inlineStr">
        <is>
          <t>K</t>
        </is>
      </c>
      <c r="F3" s="4" t="inlineStr">
        <is>
          <t>S O N U</t>
        </is>
      </c>
      <c r="G3" s="4" t="inlineStr">
        <is>
          <t>Ç L</t>
        </is>
      </c>
      <c r="H3" s="4" t="inlineStr">
        <is>
          <t>A R</t>
        </is>
      </c>
      <c r="I3" s="4" t="inlineStr">
        <is>
          <t>I</t>
        </is>
      </c>
    </row>
    <row r="5">
      <c r="A5" s="4" t="inlineStr">
        <is>
          <t>A Y L I</t>
        </is>
      </c>
      <c r="B5" s="4" t="inlineStr">
        <is>
          <t>K</t>
        </is>
      </c>
      <c r="C5" s="4" t="inlineStr">
        <is>
          <t>K Ü</t>
        </is>
      </c>
      <c r="D5" s="4" t="inlineStr">
        <is>
          <t>M</t>
        </is>
      </c>
      <c r="E5" s="4" t="inlineStr">
        <is>
          <t>Ü L A</t>
        </is>
      </c>
      <c r="F5" s="4" t="inlineStr">
        <is>
          <t>T İ F</t>
        </is>
      </c>
    </row>
    <row r="7">
      <c r="A7" s="4" t="inlineStr">
        <is>
          <t>A ğ u</t>
        </is>
      </c>
      <c r="B7" s="4" t="inlineStr">
        <is>
          <t>s t o s</t>
        </is>
      </c>
      <c r="C7" s="4" t="inlineStr">
        <is>
          <t>A ğ u s t</t>
        </is>
      </c>
      <c r="D7" s="4" t="inlineStr">
        <is>
          <t>o s</t>
        </is>
      </c>
      <c r="E7" s="4" t="inlineStr">
        <is>
          <t>' 2 4 / ' 2 3 O c</t>
        </is>
      </c>
      <c r="F7" s="4" t="inlineStr">
        <is>
          <t>a . - A</t>
        </is>
      </c>
      <c r="G7" s="4" t="inlineStr">
        <is>
          <t>ğ u . O</t>
        </is>
      </c>
      <c r="H7" s="4" t="inlineStr">
        <is>
          <t>c a</t>
        </is>
      </c>
      <c r="I7" s="4" t="inlineStr">
        <is>
          <t>. - A ğ u</t>
        </is>
      </c>
      <c r="J7" s="4" t="inlineStr">
        <is>
          <t>.</t>
        </is>
      </c>
      <c r="K7" s="4" t="inlineStr">
        <is>
          <t>' 2</t>
        </is>
      </c>
      <c r="L7" s="4" t="inlineStr">
        <is>
          <t>4 / '</t>
        </is>
      </c>
    </row>
    <row r="9">
      <c r="A9" s="4" t="inlineStr">
        <is>
          <t>2 0</t>
        </is>
      </c>
      <c r="B9" s="5" t="n">
        <v>24</v>
      </c>
      <c r="C9" s="5" t="n">
        <v>2023</v>
      </c>
      <c r="D9" s="4" t="inlineStr">
        <is>
          <t>% D e ğ .</t>
        </is>
      </c>
      <c r="E9" s="5" t="n">
        <v>202</v>
      </c>
      <c r="F9" s="5" t="n">
        <v>4</v>
      </c>
      <c r="G9" s="5" t="n">
        <v>2</v>
      </c>
      <c r="H9" s="5" t="n">
        <v>23</v>
      </c>
      <c r="I9" s="4" t="inlineStr">
        <is>
          <t>Y ı l</t>
        </is>
      </c>
      <c r="J9" s="4" t="inlineStr">
        <is>
          <t>l ı k</t>
        </is>
      </c>
      <c r="K9" s="4" t="inlineStr">
        <is>
          <t>%</t>
        </is>
      </c>
    </row>
    <row r="11">
      <c r="A11" s="4" t="inlineStr">
        <is>
          <t>M i s a f i r</t>
        </is>
      </c>
      <c r="B11" s="4" t="inlineStr">
        <is>
          <t>s</t>
        </is>
      </c>
      <c r="C11" s="4" t="inlineStr">
        <is>
          <t>a y ı s ı ,</t>
        </is>
      </c>
      <c r="D11" s="4" t="inlineStr">
        <is>
          <t>m</t>
        </is>
      </c>
      <c r="E11" s="4" t="inlineStr">
        <is>
          <t>n</t>
        </is>
      </c>
      <c r="F11" s="5" t="n">
        <v>3</v>
      </c>
      <c r="G11" s="5" t="n">
        <v>67</v>
      </c>
      <c r="H11" s="6" t="n">
        <v>3.35</v>
      </c>
      <c r="I11" s="7" t="n">
        <v>0.09</v>
      </c>
      <c r="J11" s="6" t="n">
        <v>24.6</v>
      </c>
      <c r="K11" s="5" t="n">
        <v>5</v>
      </c>
      <c r="L11" s="5" t="n">
        <v>2</v>
      </c>
      <c r="M11" s="6" t="n">
        <v>0.73</v>
      </c>
      <c r="N11" s="7" t="n">
        <v>0.19</v>
      </c>
    </row>
    <row r="13">
      <c r="A13" s="4" t="inlineStr">
        <is>
          <t>K o n m a</t>
        </is>
      </c>
      <c r="B13" s="5" t="n">
        <v>19</v>
      </c>
      <c r="C13" s="5" t="n">
        <v>542</v>
      </c>
      <c r="D13" s="6" t="n">
        <v>18.84</v>
      </c>
      <c r="E13" s="5" t="n">
        <v>9</v>
      </c>
      <c r="F13" s="7" t="n">
        <v>0.41</v>
      </c>
      <c r="G13" s="6" t="n">
        <v>35.6</v>
      </c>
      <c r="H13" s="5" t="n">
        <v>11</v>
      </c>
      <c r="I13" s="5" t="n">
        <v>12</v>
      </c>
      <c r="J13" s="5" t="n">
        <v>2917</v>
      </c>
      <c r="K13" s="7" t="n">
        <v>0.1</v>
      </c>
    </row>
    <row r="15">
      <c r="A15" s="4" t="inlineStr">
        <is>
          <t>K o lt u k</t>
        </is>
      </c>
      <c r="B15" s="4" t="inlineStr">
        <is>
          <t>s</t>
        </is>
      </c>
      <c r="C15" s="4" t="inlineStr">
        <is>
          <t>a y ı s ı ,</t>
        </is>
      </c>
      <c r="D15" s="4" t="inlineStr">
        <is>
          <t>m n</t>
        </is>
      </c>
      <c r="E15" s="5" t="n">
        <v>4</v>
      </c>
      <c r="F15" s="5" t="n">
        <v>7</v>
      </c>
      <c r="G15" s="6" t="n">
        <v>3.81</v>
      </c>
      <c r="H15" s="7" t="n">
        <v>0.07000000000000001</v>
      </c>
      <c r="I15" s="5" t="n">
        <v>28</v>
      </c>
      <c r="J15" s="5" t="n">
        <v>1</v>
      </c>
      <c r="K15" s="5" t="n">
        <v>2</v>
      </c>
      <c r="L15" s="6" t="n">
        <v>4.63</v>
      </c>
      <c r="M15" s="7" t="n">
        <v>0.14</v>
      </c>
    </row>
    <row r="17">
      <c r="A17" s="4" t="inlineStr">
        <is>
          <t>T o p l a</t>
        </is>
      </c>
      <c r="B17" s="4" t="inlineStr">
        <is>
          <t>m</t>
        </is>
      </c>
    </row>
    <row r="18">
      <c r="A18" s="4" t="inlineStr">
        <is>
          <t>D o l u l u</t>
        </is>
      </c>
      <c r="B18" s="4" t="inlineStr">
        <is>
          <t>k</t>
        </is>
      </c>
      <c r="C18" s="4" t="inlineStr">
        <is>
          <t>O r a n ı</t>
        </is>
      </c>
      <c r="D18" s="5" t="n">
        <v>90</v>
      </c>
      <c r="E18" s="7" t="n">
        <v>0.01</v>
      </c>
      <c r="F18" s="6" t="n">
        <v>88.09999999999999</v>
      </c>
      <c r="G18" s="4" t="inlineStr">
        <is>
          <t>%</t>
        </is>
      </c>
      <c r="H18" s="8" t="n">
        <v>2</v>
      </c>
      <c r="I18" s="5" t="n">
        <v>88</v>
      </c>
      <c r="J18" s="4" t="inlineStr">
        <is>
          <t>%</t>
        </is>
      </c>
      <c r="K18" s="5" t="n">
        <v>8</v>
      </c>
      <c r="L18" s="7" t="n">
        <v>0.042</v>
      </c>
      <c r="M18" s="6" t="n">
        <v>3.8</v>
      </c>
    </row>
    <row r="20">
      <c r="A20" s="4" t="inlineStr">
        <is>
          <t>A S K (</t>
        </is>
      </c>
      <c r="B20" s="4" t="inlineStr">
        <is>
          <t>m l</t>
        </is>
      </c>
      <c r="C20" s="4" t="inlineStr">
        <is>
          <t>n k m )</t>
        </is>
      </c>
      <c r="D20" s="6" t="n">
        <v>6.5</v>
      </c>
      <c r="E20" s="5" t="n">
        <v>14</v>
      </c>
      <c r="F20" s="6" t="n">
        <v>6.01</v>
      </c>
      <c r="G20" s="5" t="n">
        <v>0</v>
      </c>
      <c r="H20" s="7" t="n">
        <v>0.84</v>
      </c>
      <c r="I20" s="6" t="n">
        <v>3.9</v>
      </c>
      <c r="J20" s="5" t="n">
        <v>93</v>
      </c>
      <c r="K20" s="5" t="n">
        <v>3</v>
      </c>
      <c r="L20" s="5" t="n">
        <v>8095</v>
      </c>
      <c r="M20" s="7" t="n">
        <v>0.15</v>
      </c>
    </row>
    <row r="22">
      <c r="A22" s="4" t="inlineStr">
        <is>
          <t>K o n m a</t>
        </is>
      </c>
      <c r="B22" s="4" t="inlineStr">
        <is>
          <t>b</t>
        </is>
      </c>
      <c r="C22" s="4" t="inlineStr">
        <is>
          <t>a ş ı n a</t>
        </is>
      </c>
      <c r="D22" s="4" t="inlineStr">
        <is>
          <t>M i</t>
        </is>
      </c>
      <c r="E22" s="4" t="inlineStr">
        <is>
          <t>s a</t>
        </is>
      </c>
      <c r="F22" s="4" t="inlineStr">
        <is>
          <t>f i r</t>
        </is>
      </c>
      <c r="G22" s="5" t="n">
        <v>18</v>
      </c>
      <c r="H22" s="5" t="n">
        <v>8</v>
      </c>
      <c r="I22" s="5" t="n">
        <v>178</v>
      </c>
      <c r="J22" s="7" t="n">
        <v>0.06</v>
      </c>
      <c r="K22" s="5" t="n">
        <v>182</v>
      </c>
      <c r="L22" s="5" t="n">
        <v>169</v>
      </c>
      <c r="M22" s="7" t="n">
        <v>0.08</v>
      </c>
    </row>
    <row r="24">
      <c r="A24" s="4" t="inlineStr">
        <is>
          <t>M i s a f i r</t>
        </is>
      </c>
      <c r="B24" s="4" t="inlineStr">
        <is>
          <t>s</t>
        </is>
      </c>
      <c r="C24" s="4" t="inlineStr">
        <is>
          <t>a y ı s ı ,</t>
        </is>
      </c>
      <c r="D24" s="4" t="inlineStr">
        <is>
          <t>m</t>
        </is>
      </c>
      <c r="E24" s="4" t="inlineStr">
        <is>
          <t>n</t>
        </is>
      </c>
      <c r="F24" s="5" t="n">
        <v>1</v>
      </c>
      <c r="G24" s="5" t="n">
        <v>31</v>
      </c>
      <c r="H24" s="6" t="n">
        <v>1.22</v>
      </c>
      <c r="I24" s="7" t="n">
        <v>0.07000000000000001</v>
      </c>
      <c r="J24" s="6" t="n">
        <v>9.300000000000001</v>
      </c>
      <c r="K24" s="5" t="n">
        <v>0</v>
      </c>
      <c r="L24" s="6" t="n">
        <v>7.73</v>
      </c>
      <c r="M24" s="7" t="n">
        <v>0.2</v>
      </c>
    </row>
    <row r="26">
      <c r="A26" s="4" t="inlineStr">
        <is>
          <t>K o n m a</t>
        </is>
      </c>
      <c r="B26" s="6" t="n">
        <v>6.5</v>
      </c>
      <c r="C26" s="5" t="n">
        <v>82</v>
      </c>
      <c r="D26" s="6" t="n">
        <v>6.42</v>
      </c>
      <c r="E26" s="5" t="n">
        <v>4</v>
      </c>
      <c r="F26" s="7" t="n">
        <v>0.24</v>
      </c>
      <c r="G26" s="6" t="n">
        <v>9.199999999999999</v>
      </c>
      <c r="H26" s="5" t="n">
        <v>68</v>
      </c>
      <c r="I26" s="5" t="n">
        <v>4</v>
      </c>
      <c r="J26" s="5" t="n">
        <v>4694</v>
      </c>
      <c r="K26" s="7" t="n">
        <v>0.1</v>
      </c>
    </row>
    <row r="28">
      <c r="A28" s="4" t="inlineStr">
        <is>
          <t>K o lt u k</t>
        </is>
      </c>
      <c r="B28" s="4" t="inlineStr">
        <is>
          <t>s</t>
        </is>
      </c>
      <c r="C28" s="4" t="inlineStr">
        <is>
          <t>a y ı s ı ,</t>
        </is>
      </c>
      <c r="D28" s="4" t="inlineStr">
        <is>
          <t>m n</t>
        </is>
      </c>
      <c r="E28" s="5" t="n">
        <v>1</v>
      </c>
      <c r="F28" s="5" t="n">
        <v>38</v>
      </c>
      <c r="G28" s="6" t="n">
        <v>1.29</v>
      </c>
      <c r="H28" s="7" t="n">
        <v>0.07000000000000001</v>
      </c>
      <c r="I28" s="6" t="n">
        <v>10.1</v>
      </c>
      <c r="J28" s="5" t="n">
        <v>3</v>
      </c>
      <c r="K28" s="6" t="n">
        <v>8.84</v>
      </c>
      <c r="L28" s="7" t="n">
        <v>0.15</v>
      </c>
    </row>
    <row r="30">
      <c r="A30" s="4" t="inlineStr">
        <is>
          <t>İ ç H a t l</t>
        </is>
      </c>
      <c r="B30" s="4" t="inlineStr">
        <is>
          <t>a r</t>
        </is>
      </c>
    </row>
    <row r="31">
      <c r="A31" s="4" t="inlineStr">
        <is>
          <t>D o l u l u</t>
        </is>
      </c>
      <c r="B31" s="4" t="inlineStr">
        <is>
          <t>k</t>
        </is>
      </c>
      <c r="C31" s="4" t="inlineStr">
        <is>
          <t>O r a n ı</t>
        </is>
      </c>
      <c r="D31" s="5" t="n">
        <v>94</v>
      </c>
      <c r="E31" s="7" t="n">
        <v>0.03</v>
      </c>
      <c r="F31" s="6" t="n">
        <v>94.3</v>
      </c>
      <c r="G31" s="4" t="inlineStr">
        <is>
          <t>%</t>
        </is>
      </c>
      <c r="H31" s="8" t="n">
        <v>0.1</v>
      </c>
      <c r="I31" s="6" t="n">
        <v>91.8</v>
      </c>
      <c r="J31" s="4" t="inlineStr">
        <is>
          <t>%</t>
        </is>
      </c>
      <c r="K31" s="5" t="n">
        <v>8</v>
      </c>
      <c r="L31" s="7" t="n">
        <v>0.075</v>
      </c>
      <c r="M31" s="6" t="n">
        <v>4.3</v>
      </c>
    </row>
    <row r="33">
      <c r="A33" s="4" t="inlineStr">
        <is>
          <t>A S K (</t>
        </is>
      </c>
      <c r="B33" s="4" t="inlineStr">
        <is>
          <t>m l</t>
        </is>
      </c>
      <c r="C33" s="4" t="inlineStr">
        <is>
          <t>n k m )</t>
        </is>
      </c>
      <c r="D33" s="5" t="n">
        <v>1</v>
      </c>
      <c r="E33" s="5" t="n">
        <v>11</v>
      </c>
      <c r="F33" s="5" t="n">
        <v>938</v>
      </c>
      <c r="G33" s="7" t="n">
        <v>0.08</v>
      </c>
      <c r="H33" s="6" t="n">
        <v>7.53</v>
      </c>
      <c r="I33" s="5" t="n">
        <v>8</v>
      </c>
      <c r="J33" s="5" t="n">
        <v>6</v>
      </c>
      <c r="K33" s="6" t="n">
        <v>0.461</v>
      </c>
      <c r="L33" s="7" t="n">
        <v>0.17</v>
      </c>
    </row>
    <row r="35">
      <c r="A35" s="4" t="inlineStr">
        <is>
          <t>K o n m a</t>
        </is>
      </c>
      <c r="B35" s="4" t="inlineStr">
        <is>
          <t>b</t>
        </is>
      </c>
      <c r="C35" s="4" t="inlineStr">
        <is>
          <t>a ş ı n a</t>
        </is>
      </c>
      <c r="D35" s="4" t="inlineStr">
        <is>
          <t>M i</t>
        </is>
      </c>
      <c r="E35" s="4" t="inlineStr">
        <is>
          <t>s a</t>
        </is>
      </c>
      <c r="F35" s="4" t="inlineStr">
        <is>
          <t>f i r</t>
        </is>
      </c>
      <c r="G35" s="5" t="n">
        <v>19</v>
      </c>
      <c r="H35" s="5" t="n">
        <v>8</v>
      </c>
      <c r="I35" s="5" t="n">
        <v>190</v>
      </c>
      <c r="J35" s="7" t="n">
        <v>0.05</v>
      </c>
      <c r="K35" s="5" t="n">
        <v>189</v>
      </c>
      <c r="L35" s="5" t="n">
        <v>173</v>
      </c>
      <c r="M35" s="7" t="n">
        <v>0.09</v>
      </c>
    </row>
    <row r="37">
      <c r="A37" s="4" t="inlineStr">
        <is>
          <t>M i s a f i r</t>
        </is>
      </c>
      <c r="B37" s="4" t="inlineStr">
        <is>
          <t>s</t>
        </is>
      </c>
      <c r="C37" s="4" t="inlineStr">
        <is>
          <t>a y ı s ı ,</t>
        </is>
      </c>
      <c r="D37" s="4" t="inlineStr">
        <is>
          <t>m</t>
        </is>
      </c>
      <c r="E37" s="4" t="inlineStr">
        <is>
          <t>n</t>
        </is>
      </c>
      <c r="F37" s="5" t="n">
        <v>2</v>
      </c>
      <c r="G37" s="5" t="n">
        <v>36</v>
      </c>
      <c r="H37" s="6" t="n">
        <v>2.13</v>
      </c>
      <c r="I37" s="7" t="n">
        <v>0.11</v>
      </c>
      <c r="J37" s="6" t="n">
        <v>15.3</v>
      </c>
      <c r="K37" s="5" t="n">
        <v>5</v>
      </c>
      <c r="L37" s="5" t="n">
        <v>1</v>
      </c>
      <c r="M37" s="5" t="n">
        <v>3</v>
      </c>
      <c r="N37" s="7" t="n">
        <v>0.18</v>
      </c>
    </row>
    <row r="39">
      <c r="A39" s="4" t="inlineStr">
        <is>
          <t>K o n m a</t>
        </is>
      </c>
      <c r="B39" s="5" t="n">
        <v>12</v>
      </c>
      <c r="C39" s="5" t="n">
        <v>960</v>
      </c>
      <c r="D39" s="6" t="n">
        <v>12.42</v>
      </c>
      <c r="E39" s="5" t="n">
        <v>5</v>
      </c>
      <c r="F39" s="7" t="n">
        <v>0.48</v>
      </c>
      <c r="G39" s="6" t="n">
        <v>6.3</v>
      </c>
      <c r="H39" s="5" t="n">
        <v>43</v>
      </c>
      <c r="I39" s="5" t="n">
        <v>7</v>
      </c>
      <c r="J39" s="5" t="n">
        <v>8223</v>
      </c>
      <c r="K39" s="7" t="n">
        <v>0.1</v>
      </c>
    </row>
    <row r="41">
      <c r="A41" s="4" t="inlineStr">
        <is>
          <t>K o lt u k</t>
        </is>
      </c>
      <c r="B41" s="4" t="inlineStr">
        <is>
          <t>s</t>
        </is>
      </c>
      <c r="C41" s="4" t="inlineStr">
        <is>
          <t>a y ı s ı ,</t>
        </is>
      </c>
      <c r="D41" s="4" t="inlineStr">
        <is>
          <t>m n</t>
        </is>
      </c>
      <c r="E41" s="5" t="n">
        <v>2</v>
      </c>
      <c r="F41" s="5" t="n">
        <v>69</v>
      </c>
      <c r="G41" s="6" t="n">
        <v>2.51</v>
      </c>
      <c r="H41" s="7" t="n">
        <v>0.07000000000000001</v>
      </c>
      <c r="I41" s="6" t="n">
        <v>17.8</v>
      </c>
      <c r="J41" s="5" t="n">
        <v>8</v>
      </c>
      <c r="K41" s="5" t="n">
        <v>1</v>
      </c>
      <c r="L41" s="6" t="n">
        <v>5.79</v>
      </c>
      <c r="M41" s="7" t="n">
        <v>0.13</v>
      </c>
    </row>
    <row r="43">
      <c r="A43" s="4" t="inlineStr">
        <is>
          <t>D ı ş H a</t>
        </is>
      </c>
      <c r="B43" s="4" t="inlineStr">
        <is>
          <t>t l a</t>
        </is>
      </c>
      <c r="C43" s="4" t="inlineStr">
        <is>
          <t>r *</t>
        </is>
      </c>
    </row>
    <row r="44">
      <c r="A44" s="4" t="inlineStr">
        <is>
          <t>D o l u l u</t>
        </is>
      </c>
      <c r="B44" s="4" t="inlineStr">
        <is>
          <t>k</t>
        </is>
      </c>
      <c r="C44" s="4" t="inlineStr">
        <is>
          <t>O r a n ı</t>
        </is>
      </c>
      <c r="D44" s="5" t="n">
        <v>88</v>
      </c>
      <c r="E44" s="7" t="n">
        <v>0</v>
      </c>
      <c r="F44" s="5" t="n">
        <v>85</v>
      </c>
      <c r="G44" s="4" t="inlineStr">
        <is>
          <t>%</t>
        </is>
      </c>
      <c r="H44" s="8" t="n">
        <v>3</v>
      </c>
      <c r="I44" s="6" t="n">
        <v>85.8</v>
      </c>
      <c r="J44" s="4" t="inlineStr">
        <is>
          <t>%</t>
        </is>
      </c>
      <c r="K44" s="5" t="n">
        <v>8</v>
      </c>
      <c r="L44" s="7" t="n">
        <v>0.023</v>
      </c>
      <c r="M44" s="6" t="n">
        <v>3.5</v>
      </c>
    </row>
    <row r="46">
      <c r="A46" s="4" t="inlineStr">
        <is>
          <t>A S K (</t>
        </is>
      </c>
      <c r="B46" s="4" t="inlineStr">
        <is>
          <t>m l</t>
        </is>
      </c>
      <c r="C46" s="4" t="inlineStr">
        <is>
          <t>n k m )</t>
        </is>
      </c>
      <c r="D46" s="6" t="n">
        <v>5.5</v>
      </c>
      <c r="E46" s="5" t="n">
        <v>3</v>
      </c>
      <c r="F46" s="6" t="n">
        <v>5.07</v>
      </c>
      <c r="G46" s="5" t="n">
        <v>2</v>
      </c>
      <c r="H46" s="7" t="n">
        <v>0.93</v>
      </c>
      <c r="I46" s="6" t="n">
        <v>6.4</v>
      </c>
      <c r="J46" s="5" t="n">
        <v>55</v>
      </c>
      <c r="K46" s="5" t="n">
        <v>3</v>
      </c>
      <c r="L46" s="5" t="n">
        <v>1634</v>
      </c>
      <c r="M46" s="7" t="n">
        <v>0.15</v>
      </c>
    </row>
    <row r="48">
      <c r="A48" s="4" t="inlineStr">
        <is>
          <t>K o n m a</t>
        </is>
      </c>
      <c r="B48" s="4" t="inlineStr">
        <is>
          <t>b</t>
        </is>
      </c>
      <c r="C48" s="4" t="inlineStr">
        <is>
          <t>a ş ı n a</t>
        </is>
      </c>
      <c r="D48" s="4" t="inlineStr">
        <is>
          <t>M i</t>
        </is>
      </c>
      <c r="E48" s="4" t="inlineStr">
        <is>
          <t>s a</t>
        </is>
      </c>
      <c r="F48" s="4" t="inlineStr">
        <is>
          <t>f i r</t>
        </is>
      </c>
      <c r="G48" s="5" t="n">
        <v>18</v>
      </c>
      <c r="H48" s="5" t="n">
        <v>2</v>
      </c>
      <c r="I48" s="5" t="n">
        <v>172</v>
      </c>
      <c r="J48" s="7" t="n">
        <v>0.06</v>
      </c>
      <c r="K48" s="5" t="n">
        <v>178</v>
      </c>
      <c r="L48" s="5" t="n">
        <v>166</v>
      </c>
      <c r="M48" s="7" t="n">
        <v>0.07000000000000001</v>
      </c>
    </row>
    <row r="50">
      <c r="A50" s="4" t="inlineStr">
        <is>
          <t>* C h a r t e</t>
        </is>
      </c>
      <c r="B50" s="4" t="inlineStr">
        <is>
          <t>r d a</t>
        </is>
      </c>
      <c r="C50" s="4" t="inlineStr">
        <is>
          <t>h il</t>
        </is>
      </c>
    </row>
    <row r="52">
      <c r="A52" s="4" t="inlineStr">
        <is>
          <t>K a r b o</t>
        </is>
      </c>
      <c r="B52" s="4" t="inlineStr">
        <is>
          <t>n E</t>
        </is>
      </c>
      <c r="C52" s="4" t="inlineStr">
        <is>
          <t>m</t>
        </is>
      </c>
      <c r="D52" s="4" t="inlineStr">
        <is>
          <t>i s y o n u İ s</t>
        </is>
      </c>
      <c r="E52" s="4" t="inlineStr">
        <is>
          <t>t a</t>
        </is>
      </c>
      <c r="F52" s="4" t="inlineStr">
        <is>
          <t>t i s t i k l e</t>
        </is>
      </c>
      <c r="G52" s="4" t="inlineStr">
        <is>
          <t>r i</t>
        </is>
      </c>
    </row>
    <row r="54">
      <c r="A54" s="4" t="inlineStr">
        <is>
          <t>A Y L I K</t>
        </is>
      </c>
      <c r="B54" s="4" t="inlineStr">
        <is>
          <t>M a r</t>
        </is>
      </c>
      <c r="C54" s="4" t="inlineStr">
        <is>
          <t>. ' 2 4</t>
        </is>
      </c>
      <c r="D54" s="4" t="inlineStr">
        <is>
          <t>N i s . ' 2</t>
        </is>
      </c>
      <c r="E54" s="5" t="n">
        <v>4</v>
      </c>
      <c r="F54" s="4" t="inlineStr">
        <is>
          <t>M a y . ' 2 4 H</t>
        </is>
      </c>
      <c r="G54" s="4" t="inlineStr">
        <is>
          <t>a z . ' 2</t>
        </is>
      </c>
      <c r="H54" s="4" t="inlineStr">
        <is>
          <t>4 T</t>
        </is>
      </c>
      <c r="I54" s="4" t="inlineStr">
        <is>
          <t>e</t>
        </is>
      </c>
      <c r="J54" s="4" t="inlineStr">
        <is>
          <t>m . ' 2 4</t>
        </is>
      </c>
      <c r="K54" s="4" t="inlineStr">
        <is>
          <t>A</t>
        </is>
      </c>
      <c r="L54" s="4" t="inlineStr">
        <is>
          <t>ğ u . '</t>
        </is>
      </c>
    </row>
    <row r="56">
      <c r="A56" s="4" t="inlineStr">
        <is>
          <t>C O 2 g r</t>
        </is>
      </c>
      <c r="B56" s="4" t="inlineStr">
        <is>
          <t>a m</t>
        </is>
      </c>
      <c r="C56" s="4" t="inlineStr">
        <is>
          <t>/ R</t>
        </is>
      </c>
      <c r="D56" s="4" t="inlineStr">
        <is>
          <t>P K</t>
        </is>
      </c>
      <c r="E56" s="5" t="n">
        <v>57</v>
      </c>
      <c r="F56" s="6" t="n">
        <v>0.2</v>
      </c>
      <c r="G56" s="6" t="n">
        <v>57.2</v>
      </c>
      <c r="H56" s="6" t="n">
        <v>57.9</v>
      </c>
      <c r="I56" s="6" t="n">
        <v>60.4</v>
      </c>
      <c r="J56" s="6" t="n">
        <v>59.4</v>
      </c>
      <c r="K56" s="5" t="n">
        <v>57</v>
      </c>
    </row>
    <row r="58">
      <c r="A58" s="4" t="inlineStr">
        <is>
          <t>K Ü M Ü</t>
        </is>
      </c>
      <c r="B58" s="4" t="inlineStr">
        <is>
          <t>L A</t>
        </is>
      </c>
      <c r="C58" s="4" t="inlineStr">
        <is>
          <t>T İ</t>
        </is>
      </c>
      <c r="D58" s="4" t="inlineStr">
        <is>
          <t>F</t>
        </is>
      </c>
      <c r="E58" s="5" t="n">
        <v>20</v>
      </c>
      <c r="F58" s="5" t="n">
        <v>19</v>
      </c>
      <c r="G58" s="5" t="n">
        <v>2020</v>
      </c>
      <c r="H58" s="5" t="n">
        <v>2021</v>
      </c>
      <c r="I58" s="5" t="n">
        <v>2022</v>
      </c>
      <c r="J58" s="5" t="n">
        <v>2</v>
      </c>
      <c r="K58" s="5" t="n">
        <v>23</v>
      </c>
      <c r="L58" s="5" t="n">
        <v>8</v>
      </c>
      <c r="M58" s="4" t="inlineStr">
        <is>
          <t>A 2</t>
        </is>
      </c>
    </row>
    <row r="60">
      <c r="A60" s="4" t="inlineStr">
        <is>
          <t>C O 2 g r</t>
        </is>
      </c>
      <c r="B60" s="4" t="inlineStr">
        <is>
          <t>a m</t>
        </is>
      </c>
      <c r="C60" s="4" t="inlineStr">
        <is>
          <t>/ R</t>
        </is>
      </c>
      <c r="D60" s="4" t="inlineStr">
        <is>
          <t>P K</t>
        </is>
      </c>
      <c r="E60" s="5" t="n">
        <v>65</v>
      </c>
      <c r="F60" s="6" t="n">
        <v>0.1</v>
      </c>
      <c r="G60" s="6" t="n">
        <v>71.3</v>
      </c>
      <c r="H60" s="5" t="n">
        <v>71</v>
      </c>
      <c r="I60" s="6" t="n">
        <v>62.1</v>
      </c>
      <c r="J60" s="6" t="n">
        <v>61.3</v>
      </c>
      <c r="K60" s="5" t="n">
        <v>58</v>
      </c>
    </row>
    <row r="62">
      <c r="A62" s="4" t="inlineStr">
        <is>
          <t>Karbon E</t>
        </is>
      </c>
      <c r="B62" s="4" t="inlineStr">
        <is>
          <t>misy</t>
        </is>
      </c>
      <c r="C62" s="4" t="inlineStr">
        <is>
          <t>on</t>
        </is>
      </c>
      <c r="D62" s="4" t="inlineStr">
        <is>
          <t>u İstatistikleri</t>
        </is>
      </c>
      <c r="E62" s="4" t="inlineStr">
        <is>
          <t>nd</t>
        </is>
      </c>
      <c r="F62" s="4" t="inlineStr">
        <is>
          <t>e (grCO2</t>
        </is>
      </c>
      <c r="G62" s="4" t="inlineStr">
        <is>
          <t>/RP</t>
        </is>
      </c>
      <c r="H62" s="4" t="inlineStr">
        <is>
          <t>K)</t>
        </is>
      </c>
      <c r="I62" s="4" t="inlineStr">
        <is>
          <t>jet yakıtı emi</t>
        </is>
      </c>
      <c r="J62" s="4" t="inlineStr">
        <is>
          <t>syon kat</t>
        </is>
      </c>
      <c r="K62" s="4" t="inlineStr">
        <is>
          <t>sayısı ba</t>
        </is>
      </c>
      <c r="L62" s="4" t="inlineStr">
        <is>
          <t>z yıl ve tüm r</t>
        </is>
      </c>
      <c r="M62" s="4" t="inlineStr">
        <is>
          <t>aporlanan</t>
        </is>
      </c>
      <c r="N62" s="4" t="inlineStr">
        <is>
          <t>dönemler için 3,16 olar</t>
        </is>
      </c>
      <c r="O62" s="4" t="inlineStr">
        <is>
          <t>ak ku</t>
        </is>
      </c>
      <c r="P62" s="4" t="inlineStr">
        <is>
          <t>llanılmıştır. 2</t>
        </is>
      </c>
      <c r="Q62" s="5" t="n">
        <v>2</v>
      </c>
      <c r="R62" s="4" t="inlineStr">
        <is>
          <t>4 Ocak</t>
        </is>
      </c>
      <c r="S62" s="4" t="inlineStr">
        <is>
          <t>ayı itibariy</t>
        </is>
      </c>
      <c r="T62" s="4" t="inlineStr">
        <is>
          <t>le</t>
        </is>
      </c>
      <c r="U62" s="6" t="n">
        <v>3.16</v>
      </c>
    </row>
    <row r="63">
      <c r="A63" s="4" t="inlineStr">
        <is>
          <t>emisyon f</t>
        </is>
      </c>
      <c r="B63" s="4" t="inlineStr">
        <is>
          <t>aktö</t>
        </is>
      </c>
      <c r="C63" s="4" t="inlineStr">
        <is>
          <t>rün</t>
        </is>
      </c>
      <c r="D63" s="4" t="inlineStr">
        <is>
          <t>e geçiş gerçe</t>
        </is>
      </c>
      <c r="E63" s="4" t="inlineStr">
        <is>
          <t>kl</t>
        </is>
      </c>
      <c r="F63" s="4" t="inlineStr">
        <is>
          <t>eştirilmiş</t>
        </is>
      </c>
      <c r="G63" s="4" t="inlineStr">
        <is>
          <t>ve</t>
        </is>
      </c>
      <c r="H63" s="4" t="inlineStr">
        <is>
          <t>bu</t>
        </is>
      </c>
      <c r="I63" s="4" t="inlineStr">
        <is>
          <t>değere göre</t>
        </is>
      </c>
      <c r="J63" s="4" t="inlineStr">
        <is>
          <t>geçmiş y</t>
        </is>
      </c>
      <c r="K63" s="4" t="inlineStr">
        <is>
          <t>ıllara ait</t>
        </is>
      </c>
      <c r="L63" s="4" t="inlineStr">
        <is>
          <t>aylık emisyo</t>
        </is>
      </c>
      <c r="M63" s="4" t="inlineStr">
        <is>
          <t>n değerleri</t>
        </is>
      </c>
      <c r="N63" s="4" t="inlineStr">
        <is>
          <t>güncellenerek paylaşıl</t>
        </is>
      </c>
      <c r="O63" s="4" t="inlineStr">
        <is>
          <t>mıştır</t>
        </is>
      </c>
      <c r="P63" s="4" t="inlineStr">
        <is>
          <t>.</t>
        </is>
      </c>
    </row>
    <row r="65">
      <c r="A65" s="4" t="inlineStr">
        <is>
          <t>Arz edile</t>
        </is>
      </c>
      <c r="B65" s="4" t="inlineStr">
        <is>
          <t>n K</t>
        </is>
      </c>
      <c r="C65" s="4" t="inlineStr">
        <is>
          <t>olt</t>
        </is>
      </c>
      <c r="D65" s="4" t="inlineStr">
        <is>
          <t>uk Kilometr</t>
        </is>
      </c>
      <c r="E65" s="4" t="inlineStr">
        <is>
          <t>e</t>
        </is>
      </c>
      <c r="F65" s="4" t="inlineStr">
        <is>
          <t>(ASK) =</t>
        </is>
      </c>
      <c r="G65" s="4" t="inlineStr">
        <is>
          <t>Uç</t>
        </is>
      </c>
      <c r="H65" s="4" t="inlineStr">
        <is>
          <t>uş</t>
        </is>
      </c>
      <c r="I65" s="4" t="inlineStr">
        <is>
          <t>a arz edilen</t>
        </is>
      </c>
      <c r="J65" s="4" t="inlineStr">
        <is>
          <t>koltuk</t>
        </is>
      </c>
      <c r="K65" s="4" t="inlineStr">
        <is>
          <t>sayısı x</t>
        </is>
      </c>
      <c r="L65" s="4" t="inlineStr">
        <is>
          <t>Ortalama</t>
        </is>
      </c>
      <c r="M65" s="4" t="inlineStr">
        <is>
          <t>Uçuş Mes</t>
        </is>
      </c>
      <c r="N65" s="4" t="inlineStr">
        <is>
          <t>afesi</t>
        </is>
      </c>
    </row>
    <row r="67">
      <c r="A67" s="4" t="inlineStr">
        <is>
          <t>Doluluk</t>
        </is>
      </c>
      <c r="B67" s="4" t="inlineStr">
        <is>
          <t>Ora</t>
        </is>
      </c>
      <c r="C67" s="4" t="inlineStr">
        <is>
          <t>nı</t>
        </is>
      </c>
      <c r="D67" s="4">
        <f> Biletlenm</f>
        <v/>
      </c>
      <c r="E67" s="4" t="inlineStr">
        <is>
          <t>iş</t>
        </is>
      </c>
      <c r="F67" s="4" t="inlineStr">
        <is>
          <t>misafir</t>
        </is>
      </c>
      <c r="G67" s="4" t="inlineStr">
        <is>
          <t>sa</t>
        </is>
      </c>
      <c r="H67" s="4" t="inlineStr">
        <is>
          <t>yısı</t>
        </is>
      </c>
      <c r="I67" s="4" t="inlineStr">
        <is>
          <t>/ Toplam k</t>
        </is>
      </c>
      <c r="J67" s="4" t="inlineStr">
        <is>
          <t>oltuk s</t>
        </is>
      </c>
      <c r="K67" s="4" t="inlineStr">
        <is>
          <t>ayısı</t>
        </is>
      </c>
    </row>
    <row r="69">
      <c r="A69" s="4" t="inlineStr">
        <is>
          <t>RPK (Rev</t>
        </is>
      </c>
      <c r="B69" s="4" t="inlineStr">
        <is>
          <t>en</t>
        </is>
      </c>
      <c r="C69" s="4" t="inlineStr">
        <is>
          <t>ue</t>
        </is>
      </c>
      <c r="D69" s="4" t="inlineStr">
        <is>
          <t>Passenger</t>
        </is>
      </c>
      <c r="E69" s="4" t="inlineStr">
        <is>
          <t>Kil</t>
        </is>
      </c>
      <c r="F69" s="4" t="inlineStr">
        <is>
          <t>ometer)</t>
        </is>
      </c>
      <c r="G69" s="4" t="inlineStr">
        <is>
          <t>: Ü</t>
        </is>
      </c>
      <c r="H69" s="4" t="inlineStr">
        <is>
          <t>cr</t>
        </is>
      </c>
      <c r="I69" s="4" t="inlineStr">
        <is>
          <t>etli Yolcu Ki</t>
        </is>
      </c>
      <c r="J69" s="4" t="inlineStr">
        <is>
          <t>lometr</t>
        </is>
      </c>
      <c r="K69" s="4" t="inlineStr">
        <is>
          <t>e</t>
        </is>
      </c>
    </row>
    <row r="71">
      <c r="A71" s="4" t="inlineStr">
        <is>
          <t>Genel (P</t>
        </is>
      </c>
      <c r="B71" s="4" t="inlineStr">
        <is>
          <t>ublic)</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67"/>
  <sheetViews>
    <sheetView workbookViewId="0">
      <selection activeCell="A1" sqref="A1"/>
    </sheetView>
  </sheetViews>
  <sheetFormatPr baseColWidth="8" defaultRowHeight="15"/>
  <cols>
    <col width="17" customWidth="1" min="1" max="1"/>
    <col width="12" customWidth="1" min="2" max="2"/>
    <col width="12" customWidth="1" min="3" max="3"/>
    <col width="15" customWidth="1" min="4" max="4"/>
    <col width="12" customWidth="1" min="5" max="5"/>
    <col width="12" customWidth="1" min="6" max="6"/>
    <col width="13" customWidth="1" min="7" max="7"/>
    <col width="13" customWidth="1" min="8" max="8"/>
    <col width="12" customWidth="1" min="9" max="9"/>
    <col width="16" customWidth="1" min="10" max="10"/>
    <col width="12" customWidth="1" min="11" max="11"/>
    <col width="12" customWidth="1" min="12" max="12"/>
    <col width="27" customWidth="1" min="13" max="13"/>
    <col width="12" customWidth="1" min="14" max="14"/>
    <col width="12" customWidth="1" min="15" max="15"/>
    <col width="12" customWidth="1" min="16" max="16"/>
    <col width="18" customWidth="1" min="17" max="17"/>
    <col width="15" customWidth="1" min="18" max="18"/>
    <col width="12" customWidth="1" min="19" max="19"/>
    <col width="12" customWidth="1" min="20" max="20"/>
    <col width="12" customWidth="1" min="21" max="21"/>
    <col width="12" customWidth="1" min="22" max="22"/>
    <col width="12" customWidth="1" min="23" max="23"/>
    <col width="12" customWidth="1" min="24" max="24"/>
  </cols>
  <sheetData>
    <row r="1">
      <c r="A1" s="4" t="inlineStr">
        <is>
          <t>P E G A S U</t>
        </is>
      </c>
      <c r="B1" s="4" t="inlineStr">
        <is>
          <t>S H A V</t>
        </is>
      </c>
      <c r="C1" s="4" t="inlineStr">
        <is>
          <t>A</t>
        </is>
      </c>
      <c r="D1" s="4" t="inlineStr">
        <is>
          <t>T A</t>
        </is>
      </c>
      <c r="E1" s="4" t="inlineStr">
        <is>
          <t>Ş I</t>
        </is>
      </c>
      <c r="F1" s="4" t="inlineStr">
        <is>
          <t>M A</t>
        </is>
      </c>
      <c r="G1" s="4" t="inlineStr">
        <is>
          <t>C I L</t>
        </is>
      </c>
      <c r="H1" s="4" t="inlineStr">
        <is>
          <t>I Ğ I</t>
        </is>
      </c>
      <c r="I1" s="4" t="inlineStr">
        <is>
          <t>A . Ş</t>
        </is>
      </c>
      <c r="J1" s="4" t="inlineStr">
        <is>
          <t>.</t>
        </is>
      </c>
    </row>
    <row r="3">
      <c r="A3" s="4" t="inlineStr">
        <is>
          <t>E Y L Ü L 2</t>
        </is>
      </c>
      <c r="B3" s="4" t="inlineStr">
        <is>
          <t>0 2 4 T R</t>
        </is>
      </c>
      <c r="C3" s="4" t="inlineStr">
        <is>
          <t>A</t>
        </is>
      </c>
      <c r="D3" s="4" t="inlineStr">
        <is>
          <t>F İ K</t>
        </is>
      </c>
      <c r="E3" s="4" t="inlineStr">
        <is>
          <t>S</t>
        </is>
      </c>
      <c r="F3" s="4" t="inlineStr">
        <is>
          <t>O N</t>
        </is>
      </c>
      <c r="G3" s="4" t="inlineStr">
        <is>
          <t>U Ç</t>
        </is>
      </c>
      <c r="H3" s="4" t="inlineStr">
        <is>
          <t>L A R I</t>
        </is>
      </c>
    </row>
    <row r="5">
      <c r="A5" s="4" t="inlineStr">
        <is>
          <t>A Y L I K</t>
        </is>
      </c>
      <c r="B5" s="4" t="inlineStr">
        <is>
          <t>K Ü</t>
        </is>
      </c>
      <c r="C5" s="4" t="inlineStr">
        <is>
          <t>M Ü</t>
        </is>
      </c>
      <c r="D5" s="4" t="inlineStr">
        <is>
          <t>L A</t>
        </is>
      </c>
      <c r="E5" s="4" t="inlineStr">
        <is>
          <t>T İ F</t>
        </is>
      </c>
    </row>
    <row r="7">
      <c r="A7" s="4" t="inlineStr">
        <is>
          <t>E y l</t>
        </is>
      </c>
      <c r="B7" s="4" t="inlineStr">
        <is>
          <t>ü l</t>
        </is>
      </c>
      <c r="C7" s="4" t="inlineStr">
        <is>
          <t>E y l ü l</t>
        </is>
      </c>
      <c r="D7" s="4" t="inlineStr">
        <is>
          <t>' 2</t>
        </is>
      </c>
      <c r="E7" s="4" t="inlineStr">
        <is>
          <t>4 / ' 2</t>
        </is>
      </c>
      <c r="F7" s="5" t="n">
        <v>3</v>
      </c>
      <c r="G7" s="4" t="inlineStr">
        <is>
          <t>O c a . - E</t>
        </is>
      </c>
      <c r="H7" s="4" t="inlineStr">
        <is>
          <t>y l . O</t>
        </is>
      </c>
      <c r="I7" s="4" t="inlineStr">
        <is>
          <t>c a . -</t>
        </is>
      </c>
      <c r="J7" s="4" t="inlineStr">
        <is>
          <t>E y</t>
        </is>
      </c>
      <c r="K7" s="4" t="inlineStr">
        <is>
          <t>l .</t>
        </is>
      </c>
      <c r="L7" s="4" t="inlineStr">
        <is>
          <t>' 2</t>
        </is>
      </c>
      <c r="M7" s="4" t="inlineStr">
        <is>
          <t>4 /</t>
        </is>
      </c>
      <c r="N7" s="4" t="inlineStr">
        <is>
          <t>' 2</t>
        </is>
      </c>
    </row>
    <row r="9">
      <c r="A9" s="4" t="inlineStr">
        <is>
          <t>2 0</t>
        </is>
      </c>
      <c r="B9" s="5" t="n">
        <v>24</v>
      </c>
      <c r="C9" s="5" t="n">
        <v>2023</v>
      </c>
      <c r="D9" s="4" t="inlineStr">
        <is>
          <t>%</t>
        </is>
      </c>
      <c r="E9" s="4" t="inlineStr">
        <is>
          <t>D e ğ</t>
        </is>
      </c>
      <c r="F9" s="4" t="inlineStr">
        <is>
          <t>.</t>
        </is>
      </c>
      <c r="G9" s="5" t="n">
        <v>2024</v>
      </c>
      <c r="H9" s="5" t="n">
        <v>202</v>
      </c>
      <c r="I9" s="5" t="n">
        <v>3</v>
      </c>
      <c r="J9" s="4" t="inlineStr">
        <is>
          <t>Y ı l l ı</t>
        </is>
      </c>
      <c r="K9" s="4" t="inlineStr">
        <is>
          <t>k %</t>
        </is>
      </c>
      <c r="L9" s="4" t="inlineStr">
        <is>
          <t>D</t>
        </is>
      </c>
    </row>
    <row r="11">
      <c r="A11" s="4" t="inlineStr">
        <is>
          <t>M</t>
        </is>
      </c>
      <c r="B11" s="4" t="inlineStr">
        <is>
          <t>i s</t>
        </is>
      </c>
      <c r="C11" s="4" t="inlineStr">
        <is>
          <t>a f i r</t>
        </is>
      </c>
      <c r="D11" s="4" t="inlineStr">
        <is>
          <t>s</t>
        </is>
      </c>
      <c r="E11" s="4" t="inlineStr">
        <is>
          <t>a y ı s</t>
        </is>
      </c>
      <c r="F11" s="4" t="inlineStr">
        <is>
          <t>ı , m</t>
        </is>
      </c>
      <c r="G11" s="4" t="inlineStr">
        <is>
          <t>n</t>
        </is>
      </c>
      <c r="H11" s="6" t="n">
        <v>3.3</v>
      </c>
      <c r="I11" s="5" t="n">
        <v>3</v>
      </c>
      <c r="J11" s="6" t="n">
        <v>3.07</v>
      </c>
      <c r="K11" s="7" t="n">
        <v>0.08</v>
      </c>
      <c r="L11" s="6" t="n">
        <v>27.9</v>
      </c>
      <c r="M11" s="5" t="n">
        <v>7</v>
      </c>
      <c r="N11" s="6" t="n">
        <v>23.8</v>
      </c>
      <c r="O11" s="5" t="n">
        <v>0</v>
      </c>
      <c r="P11" s="5" t="n">
        <v>18</v>
      </c>
      <c r="Q11" s="4" t="inlineStr">
        <is>
          <t>%</t>
        </is>
      </c>
    </row>
    <row r="13">
      <c r="A13" s="4" t="inlineStr">
        <is>
          <t>K</t>
        </is>
      </c>
      <c r="B13" s="4" t="inlineStr">
        <is>
          <t>o n</t>
        </is>
      </c>
      <c r="C13" s="4" t="inlineStr">
        <is>
          <t>m a</t>
        </is>
      </c>
      <c r="D13" s="5" t="n">
        <v>18</v>
      </c>
      <c r="E13" s="5" t="n">
        <v>82</v>
      </c>
      <c r="F13" s="5" t="n">
        <v>17287</v>
      </c>
      <c r="G13" s="7" t="n">
        <v>0.05</v>
      </c>
      <c r="H13" s="6" t="n">
        <v>153.69</v>
      </c>
      <c r="I13" s="5" t="n">
        <v>31</v>
      </c>
      <c r="J13" s="6" t="n">
        <v>40.2</v>
      </c>
      <c r="K13" s="5" t="n">
        <v>4</v>
      </c>
      <c r="L13" s="5" t="n">
        <v>10</v>
      </c>
      <c r="M13" s="4" t="inlineStr">
        <is>
          <t>%</t>
        </is>
      </c>
    </row>
    <row r="15">
      <c r="A15" s="4" t="inlineStr">
        <is>
          <t>K</t>
        </is>
      </c>
      <c r="B15" s="4" t="inlineStr">
        <is>
          <t>o lt</t>
        </is>
      </c>
      <c r="C15" s="4" t="inlineStr">
        <is>
          <t>u k</t>
        </is>
      </c>
      <c r="D15" s="4" t="inlineStr">
        <is>
          <t>s a</t>
        </is>
      </c>
      <c r="E15" s="4" t="inlineStr">
        <is>
          <t>y ı s ı</t>
        </is>
      </c>
      <c r="F15" s="4" t="inlineStr">
        <is>
          <t>, m n</t>
        </is>
      </c>
      <c r="G15" s="6" t="n">
        <v>3.7</v>
      </c>
      <c r="H15" s="5" t="n">
        <v>8</v>
      </c>
      <c r="I15" s="6" t="n">
        <v>3.5</v>
      </c>
      <c r="J15" s="7" t="n">
        <v>0.08</v>
      </c>
      <c r="K15" s="6" t="n">
        <v>31.7</v>
      </c>
      <c r="L15" s="5" t="n">
        <v>9</v>
      </c>
      <c r="M15" s="6" t="n">
        <v>28.1</v>
      </c>
      <c r="N15" s="5" t="n">
        <v>2</v>
      </c>
      <c r="O15" s="5" t="n">
        <v>13</v>
      </c>
      <c r="P15" s="4" t="inlineStr">
        <is>
          <t>%</t>
        </is>
      </c>
    </row>
    <row r="17">
      <c r="A17" s="2" t="inlineStr">
        <is>
          <t>T o p l a m</t>
        </is>
      </c>
    </row>
    <row r="18">
      <c r="A18" s="4" t="inlineStr">
        <is>
          <t>D</t>
        </is>
      </c>
      <c r="B18" s="4" t="inlineStr">
        <is>
          <t>o l</t>
        </is>
      </c>
      <c r="C18" s="4" t="inlineStr">
        <is>
          <t>u l u</t>
        </is>
      </c>
      <c r="D18" s="4" t="inlineStr">
        <is>
          <t>k</t>
        </is>
      </c>
      <c r="E18" s="4" t="inlineStr">
        <is>
          <t>O r a</t>
        </is>
      </c>
      <c r="F18" s="4" t="inlineStr">
        <is>
          <t>n ı</t>
        </is>
      </c>
      <c r="G18" s="5" t="n">
        <v>88</v>
      </c>
      <c r="H18" s="7" t="n">
        <v>0.01</v>
      </c>
      <c r="I18" s="7" t="n">
        <v>0.878</v>
      </c>
      <c r="J18" s="5" t="n">
        <v>0</v>
      </c>
      <c r="K18" s="8" t="n">
        <v>0.3</v>
      </c>
      <c r="L18" s="5" t="n">
        <v>88</v>
      </c>
      <c r="M18" s="4" t="inlineStr">
        <is>
          <t>%</t>
        </is>
      </c>
      <c r="N18" s="6" t="n">
        <v>84.59999999999999</v>
      </c>
      <c r="O18" s="4" t="inlineStr">
        <is>
          <t>%</t>
        </is>
      </c>
      <c r="P18" s="6" t="n">
        <v>3.4</v>
      </c>
      <c r="Q18" s="4" t="inlineStr">
        <is>
          <t>p</t>
        </is>
      </c>
    </row>
    <row r="20">
      <c r="A20" s="4" t="inlineStr">
        <is>
          <t>A</t>
        </is>
      </c>
      <c r="B20" s="4" t="inlineStr">
        <is>
          <t>S K</t>
        </is>
      </c>
      <c r="C20" s="4" t="inlineStr">
        <is>
          <t>(</t>
        </is>
      </c>
      <c r="D20" s="4" t="inlineStr">
        <is>
          <t>m ln</t>
        </is>
      </c>
      <c r="E20" s="4" t="inlineStr">
        <is>
          <t>k m</t>
        </is>
      </c>
      <c r="F20" s="4" t="inlineStr">
        <is>
          <t>)</t>
        </is>
      </c>
      <c r="G20" s="5" t="n">
        <v>6</v>
      </c>
      <c r="H20" s="5" t="n">
        <v>48</v>
      </c>
      <c r="I20" s="5" t="n">
        <v>5515</v>
      </c>
      <c r="J20" s="5" t="n">
        <v>1</v>
      </c>
      <c r="K20" s="7" t="n">
        <v>0</v>
      </c>
      <c r="L20" s="6" t="n">
        <v>50.04</v>
      </c>
      <c r="M20" s="5" t="n">
        <v>2</v>
      </c>
      <c r="N20" s="6" t="n">
        <v>43.6</v>
      </c>
      <c r="O20" s="5" t="n">
        <v>10</v>
      </c>
      <c r="P20" s="5" t="n">
        <v>15</v>
      </c>
      <c r="Q20" s="4" t="inlineStr">
        <is>
          <t>%</t>
        </is>
      </c>
    </row>
    <row r="22">
      <c r="A22" s="4" t="inlineStr">
        <is>
          <t>K</t>
        </is>
      </c>
      <c r="B22" s="4" t="inlineStr">
        <is>
          <t>o n</t>
        </is>
      </c>
      <c r="C22" s="4" t="inlineStr">
        <is>
          <t>m a</t>
        </is>
      </c>
      <c r="D22" s="4" t="inlineStr">
        <is>
          <t>b</t>
        </is>
      </c>
      <c r="E22" s="4" t="inlineStr">
        <is>
          <t>a ş ı n</t>
        </is>
      </c>
      <c r="F22" s="4" t="inlineStr">
        <is>
          <t>a M</t>
        </is>
      </c>
      <c r="G22" s="4" t="inlineStr">
        <is>
          <t>i s a</t>
        </is>
      </c>
      <c r="H22" s="4" t="inlineStr">
        <is>
          <t>f i r</t>
        </is>
      </c>
      <c r="I22" s="5" t="n">
        <v>18</v>
      </c>
      <c r="J22" s="5" t="n">
        <v>4</v>
      </c>
      <c r="K22" s="5" t="n">
        <v>178</v>
      </c>
      <c r="L22" s="7" t="n">
        <v>0.04</v>
      </c>
      <c r="M22" s="5" t="n">
        <v>182</v>
      </c>
      <c r="N22" s="5" t="n">
        <v>17</v>
      </c>
      <c r="O22" s="5" t="n">
        <v>0</v>
      </c>
      <c r="P22" s="5" t="n">
        <v>7</v>
      </c>
      <c r="Q22" s="4" t="inlineStr">
        <is>
          <t>%</t>
        </is>
      </c>
    </row>
    <row r="24">
      <c r="A24" s="4" t="inlineStr">
        <is>
          <t>M</t>
        </is>
      </c>
      <c r="B24" s="4" t="inlineStr">
        <is>
          <t>i s</t>
        </is>
      </c>
      <c r="C24" s="4" t="inlineStr">
        <is>
          <t>a f i r</t>
        </is>
      </c>
      <c r="D24" s="4" t="inlineStr">
        <is>
          <t>s</t>
        </is>
      </c>
      <c r="E24" s="4" t="inlineStr">
        <is>
          <t>a y ı s</t>
        </is>
      </c>
      <c r="F24" s="4" t="inlineStr">
        <is>
          <t>ı , m</t>
        </is>
      </c>
      <c r="G24" s="4" t="inlineStr">
        <is>
          <t>n</t>
        </is>
      </c>
      <c r="H24" s="6" t="n">
        <v>1.1</v>
      </c>
      <c r="I24" s="5" t="n">
        <v>7</v>
      </c>
      <c r="J24" s="6" t="n">
        <v>1.08</v>
      </c>
      <c r="K24" s="7" t="n">
        <v>0.09</v>
      </c>
      <c r="L24" s="6" t="n">
        <v>10.4</v>
      </c>
      <c r="M24" s="5" t="n">
        <v>7</v>
      </c>
      <c r="N24" s="6" t="n">
        <v>8.800000000000001</v>
      </c>
      <c r="O24" s="5" t="n">
        <v>1</v>
      </c>
      <c r="P24" s="5" t="n">
        <v>19</v>
      </c>
      <c r="Q24" s="4" t="inlineStr">
        <is>
          <t>%</t>
        </is>
      </c>
    </row>
    <row r="26">
      <c r="A26" s="4" t="inlineStr">
        <is>
          <t>K</t>
        </is>
      </c>
      <c r="B26" s="4" t="inlineStr">
        <is>
          <t>o n</t>
        </is>
      </c>
      <c r="C26" s="4" t="inlineStr">
        <is>
          <t>m a</t>
        </is>
      </c>
      <c r="D26" s="6" t="n">
        <v>5.9</v>
      </c>
      <c r="E26" s="5" t="n">
        <v>79</v>
      </c>
      <c r="F26" s="5" t="n">
        <v>5827</v>
      </c>
      <c r="G26" s="7" t="n">
        <v>0.03</v>
      </c>
      <c r="H26" s="6" t="n">
        <v>55.24</v>
      </c>
      <c r="I26" s="5" t="n">
        <v>7</v>
      </c>
      <c r="J26" s="6" t="n">
        <v>50.5</v>
      </c>
      <c r="K26" s="5" t="n">
        <v>21</v>
      </c>
      <c r="L26" s="5" t="n">
        <v>9</v>
      </c>
      <c r="M26" s="4" t="inlineStr">
        <is>
          <t>%</t>
        </is>
      </c>
    </row>
    <row r="28">
      <c r="A28" s="4" t="inlineStr">
        <is>
          <t>K</t>
        </is>
      </c>
      <c r="B28" s="4" t="inlineStr">
        <is>
          <t>o lt</t>
        </is>
      </c>
      <c r="C28" s="4" t="inlineStr">
        <is>
          <t>u k</t>
        </is>
      </c>
      <c r="D28" s="4" t="inlineStr">
        <is>
          <t>s a</t>
        </is>
      </c>
      <c r="E28" s="4" t="inlineStr">
        <is>
          <t>y ı s ı</t>
        </is>
      </c>
      <c r="F28" s="4" t="inlineStr">
        <is>
          <t>, m n</t>
        </is>
      </c>
      <c r="G28" s="6" t="n">
        <v>1.2</v>
      </c>
      <c r="H28" s="5" t="n">
        <v>6</v>
      </c>
      <c r="I28" s="6" t="n">
        <v>1.17</v>
      </c>
      <c r="J28" s="7" t="n">
        <v>0.07000000000000001</v>
      </c>
      <c r="K28" s="6" t="n">
        <v>11.3</v>
      </c>
      <c r="L28" s="5" t="n">
        <v>9</v>
      </c>
      <c r="M28" s="5" t="n">
        <v>10</v>
      </c>
      <c r="N28" s="5" t="n">
        <v>1</v>
      </c>
      <c r="O28" s="5" t="n">
        <v>14</v>
      </c>
      <c r="P28" s="4" t="inlineStr">
        <is>
          <t>%</t>
        </is>
      </c>
    </row>
    <row r="30">
      <c r="A30" s="4" t="inlineStr">
        <is>
          <t>İ ç H a t l a</t>
        </is>
      </c>
      <c r="B30" s="4" t="inlineStr">
        <is>
          <t>r</t>
        </is>
      </c>
    </row>
    <row r="31">
      <c r="A31" s="4" t="inlineStr">
        <is>
          <t>D</t>
        </is>
      </c>
      <c r="B31" s="4" t="inlineStr">
        <is>
          <t>o l</t>
        </is>
      </c>
      <c r="C31" s="4" t="inlineStr">
        <is>
          <t>u l u</t>
        </is>
      </c>
      <c r="D31" s="4" t="inlineStr">
        <is>
          <t>k</t>
        </is>
      </c>
      <c r="E31" s="4" t="inlineStr">
        <is>
          <t>O r a</t>
        </is>
      </c>
      <c r="F31" s="4" t="inlineStr">
        <is>
          <t>n ı</t>
        </is>
      </c>
      <c r="G31" s="5" t="n">
        <v>92</v>
      </c>
      <c r="H31" s="7" t="n">
        <v>0.09</v>
      </c>
      <c r="I31" s="7" t="n">
        <v>0.917</v>
      </c>
      <c r="J31" s="5" t="n">
        <v>1</v>
      </c>
      <c r="K31" s="8" t="n">
        <v>0.2</v>
      </c>
      <c r="L31" s="6" t="n">
        <v>91.90000000000001</v>
      </c>
      <c r="M31" s="4" t="inlineStr">
        <is>
          <t>%</t>
        </is>
      </c>
      <c r="N31" s="5" t="n">
        <v>88</v>
      </c>
      <c r="O31" s="4" t="inlineStr">
        <is>
          <t>%</t>
        </is>
      </c>
      <c r="P31" s="6" t="n">
        <v>3.9</v>
      </c>
      <c r="Q31" s="4" t="inlineStr">
        <is>
          <t>p</t>
        </is>
      </c>
    </row>
    <row r="33">
      <c r="A33" s="4" t="inlineStr">
        <is>
          <t>A</t>
        </is>
      </c>
      <c r="B33" s="4" t="inlineStr">
        <is>
          <t>S K</t>
        </is>
      </c>
      <c r="C33" s="4" t="inlineStr">
        <is>
          <t>(</t>
        </is>
      </c>
      <c r="D33" s="4" t="inlineStr">
        <is>
          <t>m ln</t>
        </is>
      </c>
      <c r="E33" s="4" t="inlineStr">
        <is>
          <t>k m</t>
        </is>
      </c>
      <c r="F33" s="4" t="inlineStr">
        <is>
          <t>)</t>
        </is>
      </c>
      <c r="G33" s="5" t="n">
        <v>92</v>
      </c>
      <c r="H33" s="5" t="n">
        <v>3</v>
      </c>
      <c r="I33" s="5" t="n">
        <v>855</v>
      </c>
      <c r="J33" s="7" t="n">
        <v>0.08</v>
      </c>
      <c r="K33" s="5" t="n">
        <v>8461</v>
      </c>
      <c r="L33" s="6" t="n">
        <v>7.31</v>
      </c>
      <c r="M33" s="5" t="n">
        <v>6</v>
      </c>
      <c r="N33" s="5" t="n">
        <v>16</v>
      </c>
      <c r="O33" s="4" t="inlineStr">
        <is>
          <t>%</t>
        </is>
      </c>
    </row>
    <row r="35">
      <c r="A35" s="4" t="inlineStr">
        <is>
          <t>K</t>
        </is>
      </c>
      <c r="B35" s="4" t="inlineStr">
        <is>
          <t>o n</t>
        </is>
      </c>
      <c r="C35" s="4" t="inlineStr">
        <is>
          <t>m a</t>
        </is>
      </c>
      <c r="D35" s="4" t="inlineStr">
        <is>
          <t>b</t>
        </is>
      </c>
      <c r="E35" s="4" t="inlineStr">
        <is>
          <t>a ş ı n</t>
        </is>
      </c>
      <c r="F35" s="4" t="inlineStr">
        <is>
          <t>a M</t>
        </is>
      </c>
      <c r="G35" s="4" t="inlineStr">
        <is>
          <t>i s a</t>
        </is>
      </c>
      <c r="H35" s="4" t="inlineStr">
        <is>
          <t>f i r</t>
        </is>
      </c>
      <c r="I35" s="5" t="n">
        <v>19</v>
      </c>
      <c r="J35" s="5" t="n">
        <v>6</v>
      </c>
      <c r="K35" s="5" t="n">
        <v>185</v>
      </c>
      <c r="L35" s="7" t="n">
        <v>0.06</v>
      </c>
      <c r="M35" s="5" t="n">
        <v>189</v>
      </c>
      <c r="N35" s="5" t="n">
        <v>17</v>
      </c>
      <c r="O35" s="5" t="n">
        <v>4</v>
      </c>
      <c r="P35" s="5" t="n">
        <v>9</v>
      </c>
      <c r="Q35" s="4" t="inlineStr">
        <is>
          <t>%</t>
        </is>
      </c>
    </row>
    <row r="37">
      <c r="A37" s="4" t="inlineStr">
        <is>
          <t>M</t>
        </is>
      </c>
      <c r="B37" s="4" t="inlineStr">
        <is>
          <t>i s</t>
        </is>
      </c>
      <c r="C37" s="4" t="inlineStr">
        <is>
          <t>a f i r</t>
        </is>
      </c>
      <c r="D37" s="4" t="inlineStr">
        <is>
          <t>s</t>
        </is>
      </c>
      <c r="E37" s="4" t="inlineStr">
        <is>
          <t>a y ı s</t>
        </is>
      </c>
      <c r="F37" s="4" t="inlineStr">
        <is>
          <t>ı , m</t>
        </is>
      </c>
      <c r="G37" s="4" t="inlineStr">
        <is>
          <t>n</t>
        </is>
      </c>
      <c r="H37" s="6" t="n">
        <v>2.1</v>
      </c>
      <c r="I37" s="5" t="n">
        <v>6</v>
      </c>
      <c r="J37" s="6" t="n">
        <v>1.99</v>
      </c>
      <c r="K37" s="7" t="n">
        <v>0.08</v>
      </c>
      <c r="L37" s="6" t="n">
        <v>17.5</v>
      </c>
      <c r="M37" s="5" t="n">
        <v>0</v>
      </c>
      <c r="N37" s="6" t="n">
        <v>14.9</v>
      </c>
      <c r="O37" s="5" t="n">
        <v>9</v>
      </c>
      <c r="P37" s="5" t="n">
        <v>17</v>
      </c>
      <c r="Q37" s="4" t="inlineStr">
        <is>
          <t>%</t>
        </is>
      </c>
    </row>
    <row r="39">
      <c r="A39" s="4" t="inlineStr">
        <is>
          <t>K</t>
        </is>
      </c>
      <c r="B39" s="4" t="inlineStr">
        <is>
          <t>o n</t>
        </is>
      </c>
      <c r="C39" s="4" t="inlineStr">
        <is>
          <t>m a</t>
        </is>
      </c>
      <c r="D39" s="6" t="n">
        <v>12.1</v>
      </c>
      <c r="E39" s="5" t="n">
        <v>3</v>
      </c>
      <c r="F39" s="5" t="n">
        <v>11460</v>
      </c>
      <c r="G39" s="7" t="n">
        <v>0.06</v>
      </c>
      <c r="H39" s="6" t="n">
        <v>98.44</v>
      </c>
      <c r="I39" s="5" t="n">
        <v>6</v>
      </c>
      <c r="J39" s="6" t="n">
        <v>89.59999999999999</v>
      </c>
      <c r="K39" s="5" t="n">
        <v>83</v>
      </c>
      <c r="L39" s="5" t="n">
        <v>10</v>
      </c>
      <c r="M39" s="4" t="inlineStr">
        <is>
          <t>%</t>
        </is>
      </c>
    </row>
    <row r="41">
      <c r="A41" s="4" t="inlineStr">
        <is>
          <t>K</t>
        </is>
      </c>
      <c r="B41" s="4" t="inlineStr">
        <is>
          <t>o lt</t>
        </is>
      </c>
      <c r="C41" s="4" t="inlineStr">
        <is>
          <t>u k</t>
        </is>
      </c>
      <c r="D41" s="4" t="inlineStr">
        <is>
          <t>s a</t>
        </is>
      </c>
      <c r="E41" s="4" t="inlineStr">
        <is>
          <t>y ı s ı</t>
        </is>
      </c>
      <c r="F41" s="4" t="inlineStr">
        <is>
          <t>, m n</t>
        </is>
      </c>
      <c r="G41" s="6" t="n">
        <v>2.5</v>
      </c>
      <c r="H41" s="5" t="n">
        <v>2</v>
      </c>
      <c r="I41" s="6" t="n">
        <v>2.32</v>
      </c>
      <c r="J41" s="7" t="n">
        <v>0.08</v>
      </c>
      <c r="K41" s="6" t="n">
        <v>20.4</v>
      </c>
      <c r="L41" s="5" t="n">
        <v>0</v>
      </c>
      <c r="M41" s="6" t="n">
        <v>18.1</v>
      </c>
      <c r="N41" s="5" t="n">
        <v>1</v>
      </c>
      <c r="O41" s="5" t="n">
        <v>13</v>
      </c>
      <c r="P41" s="4" t="inlineStr">
        <is>
          <t>%</t>
        </is>
      </c>
    </row>
    <row r="43">
      <c r="A43" s="4" t="inlineStr">
        <is>
          <t>D ı ş H a t l</t>
        </is>
      </c>
      <c r="B43" s="4" t="inlineStr">
        <is>
          <t>a r *</t>
        </is>
      </c>
    </row>
    <row r="44">
      <c r="A44" s="4" t="inlineStr">
        <is>
          <t>D</t>
        </is>
      </c>
      <c r="B44" s="4" t="inlineStr">
        <is>
          <t>o l</t>
        </is>
      </c>
      <c r="C44" s="4" t="inlineStr">
        <is>
          <t>u l u</t>
        </is>
      </c>
      <c r="D44" s="4" t="inlineStr">
        <is>
          <t>k</t>
        </is>
      </c>
      <c r="E44" s="4" t="inlineStr">
        <is>
          <t>O r a</t>
        </is>
      </c>
      <c r="F44" s="4" t="inlineStr">
        <is>
          <t>n ı</t>
        </is>
      </c>
      <c r="G44" s="5" t="n">
        <v>85</v>
      </c>
      <c r="H44" s="7" t="n">
        <v>0.07000000000000001</v>
      </c>
      <c r="I44" s="7" t="n">
        <v>0.858</v>
      </c>
      <c r="J44" s="5" t="n">
        <v>0</v>
      </c>
      <c r="K44" s="8" t="n">
        <v>0.2</v>
      </c>
      <c r="L44" s="6" t="n">
        <v>85.8</v>
      </c>
      <c r="M44" s="4" t="inlineStr">
        <is>
          <t>%</t>
        </is>
      </c>
      <c r="N44" s="6" t="n">
        <v>82.8</v>
      </c>
      <c r="O44" s="4" t="inlineStr">
        <is>
          <t>%</t>
        </is>
      </c>
      <c r="P44" s="5" t="n">
        <v>3</v>
      </c>
      <c r="Q44" s="4" t="inlineStr">
        <is>
          <t>p</t>
        </is>
      </c>
    </row>
    <row r="46">
      <c r="A46" s="4" t="inlineStr">
        <is>
          <t>A</t>
        </is>
      </c>
      <c r="B46" s="4" t="inlineStr">
        <is>
          <t>S K</t>
        </is>
      </c>
      <c r="C46" s="4" t="inlineStr">
        <is>
          <t>(</t>
        </is>
      </c>
      <c r="D46" s="4" t="inlineStr">
        <is>
          <t>m ln</t>
        </is>
      </c>
      <c r="E46" s="4" t="inlineStr">
        <is>
          <t>k m</t>
        </is>
      </c>
      <c r="F46" s="4" t="inlineStr">
        <is>
          <t>)</t>
        </is>
      </c>
      <c r="G46" s="6" t="n">
        <v>5.1</v>
      </c>
      <c r="H46" s="5" t="n">
        <v>26</v>
      </c>
      <c r="I46" s="5" t="n">
        <v>4660</v>
      </c>
      <c r="J46" s="5" t="n">
        <v>1</v>
      </c>
      <c r="K46" s="7" t="n">
        <v>0</v>
      </c>
      <c r="L46" s="6" t="n">
        <v>41.58</v>
      </c>
      <c r="M46" s="5" t="n">
        <v>1</v>
      </c>
      <c r="N46" s="6" t="n">
        <v>36.2</v>
      </c>
      <c r="O46" s="5" t="n">
        <v>94</v>
      </c>
      <c r="P46" s="5" t="n">
        <v>15</v>
      </c>
      <c r="Q46" s="4" t="inlineStr">
        <is>
          <t>%</t>
        </is>
      </c>
    </row>
    <row r="48">
      <c r="A48" s="4" t="inlineStr">
        <is>
          <t>K</t>
        </is>
      </c>
      <c r="B48" s="4" t="inlineStr">
        <is>
          <t>o n</t>
        </is>
      </c>
      <c r="C48" s="4" t="inlineStr">
        <is>
          <t>m a</t>
        </is>
      </c>
      <c r="D48" s="4" t="inlineStr">
        <is>
          <t>b</t>
        </is>
      </c>
      <c r="E48" s="4" t="inlineStr">
        <is>
          <t>a ş ı n</t>
        </is>
      </c>
      <c r="F48" s="4" t="inlineStr">
        <is>
          <t>a M</t>
        </is>
      </c>
      <c r="G48" s="4" t="inlineStr">
        <is>
          <t>i s a</t>
        </is>
      </c>
      <c r="H48" s="4" t="inlineStr">
        <is>
          <t>f i r</t>
        </is>
      </c>
      <c r="I48" s="5" t="n">
        <v>17</v>
      </c>
      <c r="J48" s="5" t="n">
        <v>8</v>
      </c>
      <c r="K48" s="5" t="n">
        <v>174</v>
      </c>
      <c r="L48" s="7" t="n">
        <v>0.02</v>
      </c>
      <c r="M48" s="5" t="n">
        <v>178</v>
      </c>
      <c r="N48" s="5" t="n">
        <v>16</v>
      </c>
      <c r="O48" s="5" t="n">
        <v>7</v>
      </c>
      <c r="P48" s="5" t="n">
        <v>6</v>
      </c>
      <c r="Q48" s="4" t="inlineStr">
        <is>
          <t>%</t>
        </is>
      </c>
    </row>
    <row r="50">
      <c r="A50" s="4" t="inlineStr">
        <is>
          <t>* C h a r t e r</t>
        </is>
      </c>
      <c r="B50" s="4" t="inlineStr">
        <is>
          <t>d a h il</t>
        </is>
      </c>
    </row>
    <row r="52">
      <c r="A52" s="4" t="inlineStr">
        <is>
          <t>K a r b o n</t>
        </is>
      </c>
      <c r="B52" s="4" t="inlineStr">
        <is>
          <t>E m i s y</t>
        </is>
      </c>
      <c r="C52" s="4" t="inlineStr">
        <is>
          <t>o</t>
        </is>
      </c>
      <c r="D52" s="4" t="inlineStr">
        <is>
          <t>n u</t>
        </is>
      </c>
      <c r="E52" s="4" t="inlineStr">
        <is>
          <t>İ s t</t>
        </is>
      </c>
      <c r="F52" s="4" t="inlineStr">
        <is>
          <t>a t</t>
        </is>
      </c>
      <c r="G52" s="4" t="inlineStr">
        <is>
          <t>i s t i</t>
        </is>
      </c>
      <c r="H52" s="4" t="inlineStr">
        <is>
          <t>k l e r i</t>
        </is>
      </c>
    </row>
    <row r="54">
      <c r="A54" s="4" t="inlineStr">
        <is>
          <t>A Y L I K</t>
        </is>
      </c>
      <c r="B54" s="4" t="inlineStr">
        <is>
          <t>N i s .</t>
        </is>
      </c>
      <c r="C54" s="4" t="inlineStr">
        <is>
          <t>' 2 4</t>
        </is>
      </c>
      <c r="D54" s="4" t="inlineStr">
        <is>
          <t>M a y . ' 2 4</t>
        </is>
      </c>
      <c r="E54" s="4" t="inlineStr">
        <is>
          <t>H a</t>
        </is>
      </c>
      <c r="F54" s="4" t="inlineStr">
        <is>
          <t>z . ' 2</t>
        </is>
      </c>
      <c r="G54" s="5" t="n">
        <v>4</v>
      </c>
      <c r="H54" s="4" t="inlineStr">
        <is>
          <t>T e m . ' 2</t>
        </is>
      </c>
      <c r="I54" s="4" t="inlineStr">
        <is>
          <t>4 A</t>
        </is>
      </c>
      <c r="J54" s="4" t="inlineStr">
        <is>
          <t>ğ u .</t>
        </is>
      </c>
      <c r="K54" s="4" t="inlineStr">
        <is>
          <t>' 2 4</t>
        </is>
      </c>
      <c r="L54" s="4" t="inlineStr">
        <is>
          <t>E</t>
        </is>
      </c>
      <c r="M54" s="4" t="inlineStr">
        <is>
          <t>y l .</t>
        </is>
      </c>
      <c r="N54" s="4" t="inlineStr">
        <is>
          <t>' 2</t>
        </is>
      </c>
    </row>
    <row r="56">
      <c r="A56" s="4" t="inlineStr">
        <is>
          <t>C O 2 g r a</t>
        </is>
      </c>
      <c r="B56" s="4" t="inlineStr">
        <is>
          <t>m / R P K</t>
        </is>
      </c>
      <c r="C56" s="5" t="n">
        <v>57</v>
      </c>
      <c r="D56" s="6" t="n">
        <v>0.2</v>
      </c>
      <c r="E56" s="6" t="n">
        <v>57.9</v>
      </c>
      <c r="F56" s="5" t="n">
        <v>6</v>
      </c>
      <c r="G56" s="6" t="n">
        <v>0.4</v>
      </c>
      <c r="H56" s="6" t="n">
        <v>59.4</v>
      </c>
      <c r="I56" s="5" t="n">
        <v>57</v>
      </c>
      <c r="J56" s="5" t="n">
        <v>1</v>
      </c>
      <c r="K56" s="5" t="n">
        <v>57</v>
      </c>
      <c r="L56" s="6" t="n">
        <v>0.8</v>
      </c>
    </row>
    <row r="58">
      <c r="A58" s="4" t="inlineStr">
        <is>
          <t>K Ü M Ü L</t>
        </is>
      </c>
      <c r="B58" s="4" t="inlineStr">
        <is>
          <t>A T İ F</t>
        </is>
      </c>
      <c r="C58" s="5" t="n">
        <v>20</v>
      </c>
      <c r="D58" s="5" t="n">
        <v>19</v>
      </c>
      <c r="E58" s="5" t="n">
        <v>2020</v>
      </c>
      <c r="F58" s="5" t="n">
        <v>2</v>
      </c>
      <c r="G58" s="5" t="n">
        <v>21</v>
      </c>
      <c r="H58" s="5" t="n">
        <v>2022</v>
      </c>
      <c r="I58" s="5" t="n">
        <v>202</v>
      </c>
      <c r="J58" s="5" t="n">
        <v>3</v>
      </c>
      <c r="K58" s="4" t="inlineStr">
        <is>
          <t>9 A</t>
        </is>
      </c>
      <c r="L58" s="5" t="n">
        <v>24</v>
      </c>
    </row>
    <row r="60">
      <c r="A60" s="4" t="inlineStr">
        <is>
          <t>C O 2 g r a</t>
        </is>
      </c>
      <c r="B60" s="4" t="inlineStr">
        <is>
          <t>m / R P K</t>
        </is>
      </c>
      <c r="C60" s="5" t="n">
        <v>65</v>
      </c>
      <c r="D60" s="6" t="n">
        <v>0.1</v>
      </c>
      <c r="E60" s="6" t="n">
        <v>71.3</v>
      </c>
      <c r="F60" s="5" t="n">
        <v>7</v>
      </c>
      <c r="G60" s="5" t="n">
        <v>1</v>
      </c>
      <c r="H60" s="6" t="n">
        <v>62.1</v>
      </c>
      <c r="I60" s="5" t="n">
        <v>61</v>
      </c>
      <c r="J60" s="5" t="n">
        <v>3</v>
      </c>
      <c r="K60" s="5" t="n">
        <v>58</v>
      </c>
      <c r="L60" s="6" t="n">
        <v>0.3</v>
      </c>
    </row>
    <row r="62">
      <c r="A62" s="4" t="inlineStr">
        <is>
          <t>Karbon Emi</t>
        </is>
      </c>
      <c r="B62" s="4" t="inlineStr">
        <is>
          <t>syonu İst</t>
        </is>
      </c>
      <c r="C62" s="4" t="inlineStr">
        <is>
          <t>ati</t>
        </is>
      </c>
      <c r="D62" s="4" t="inlineStr">
        <is>
          <t>stik</t>
        </is>
      </c>
      <c r="E62" s="4" t="inlineStr">
        <is>
          <t>lerin</t>
        </is>
      </c>
      <c r="F62" s="4" t="inlineStr">
        <is>
          <t>de</t>
        </is>
      </c>
      <c r="G62" s="4" t="inlineStr">
        <is>
          <t>(grC</t>
        </is>
      </c>
      <c r="H62" s="4" t="inlineStr">
        <is>
          <t>O2/R</t>
        </is>
      </c>
      <c r="I62" s="4" t="inlineStr">
        <is>
          <t>PK)</t>
        </is>
      </c>
      <c r="J62" s="4" t="inlineStr">
        <is>
          <t>jet yakıtı emi</t>
        </is>
      </c>
      <c r="K62" s="4" t="inlineStr">
        <is>
          <t>syon kats</t>
        </is>
      </c>
      <c r="L62" s="4" t="inlineStr">
        <is>
          <t>ayısı ba</t>
        </is>
      </c>
      <c r="M62" s="4" t="inlineStr">
        <is>
          <t>z yıl ve tüm raporlanan d</t>
        </is>
      </c>
      <c r="N62" s="4" t="inlineStr">
        <is>
          <t>ön</t>
        </is>
      </c>
      <c r="O62" s="4" t="inlineStr">
        <is>
          <t>emler</t>
        </is>
      </c>
      <c r="P62" s="4" t="inlineStr">
        <is>
          <t>için 3</t>
        </is>
      </c>
      <c r="Q62" s="4" t="inlineStr">
        <is>
          <t>,16 olarak kulla</t>
        </is>
      </c>
      <c r="R62" s="4" t="inlineStr">
        <is>
          <t>nılmıştır. 20</t>
        </is>
      </c>
      <c r="S62" s="4" t="inlineStr">
        <is>
          <t>24 Oc</t>
        </is>
      </c>
      <c r="T62" s="4" t="inlineStr">
        <is>
          <t>ak</t>
        </is>
      </c>
      <c r="U62" s="4" t="inlineStr">
        <is>
          <t>ayı</t>
        </is>
      </c>
      <c r="V62" s="4" t="inlineStr">
        <is>
          <t>itibariyle</t>
        </is>
      </c>
      <c r="W62" s="6" t="n">
        <v>3.1</v>
      </c>
      <c r="X62" s="5" t="n">
        <v>6</v>
      </c>
    </row>
    <row r="63">
      <c r="A63" s="4" t="inlineStr">
        <is>
          <t>emisyon fak</t>
        </is>
      </c>
      <c r="B63" s="4" t="inlineStr">
        <is>
          <t>törüne g</t>
        </is>
      </c>
      <c r="C63" s="4" t="inlineStr">
        <is>
          <t>eçi</t>
        </is>
      </c>
      <c r="D63" s="4" t="inlineStr">
        <is>
          <t>ş g</t>
        </is>
      </c>
      <c r="E63" s="4" t="inlineStr">
        <is>
          <t>erçe</t>
        </is>
      </c>
      <c r="F63" s="4" t="inlineStr">
        <is>
          <t>kle</t>
        </is>
      </c>
      <c r="G63" s="4" t="inlineStr">
        <is>
          <t>ştiril</t>
        </is>
      </c>
      <c r="H63" s="4" t="inlineStr">
        <is>
          <t>miş ve</t>
        </is>
      </c>
      <c r="I63" s="4" t="inlineStr">
        <is>
          <t>bu</t>
        </is>
      </c>
      <c r="J63" s="4" t="inlineStr">
        <is>
          <t>değere göre</t>
        </is>
      </c>
      <c r="K63" s="4" t="inlineStr">
        <is>
          <t>geçmiş yı</t>
        </is>
      </c>
      <c r="L63" s="4" t="inlineStr">
        <is>
          <t>llara ait</t>
        </is>
      </c>
      <c r="M63" s="4" t="inlineStr">
        <is>
          <t>aylık emisyon değerleri g</t>
        </is>
      </c>
      <c r="N63" s="4" t="inlineStr">
        <is>
          <t>ün</t>
        </is>
      </c>
      <c r="O63" s="4" t="inlineStr">
        <is>
          <t>celle</t>
        </is>
      </c>
      <c r="P63" s="4" t="inlineStr">
        <is>
          <t>nerek</t>
        </is>
      </c>
      <c r="Q63" s="4" t="inlineStr">
        <is>
          <t>paylaşılmıştır.</t>
        </is>
      </c>
    </row>
    <row r="65">
      <c r="A65" s="4" t="inlineStr">
        <is>
          <t>Arz edilen</t>
        </is>
      </c>
      <c r="B65" s="4" t="inlineStr">
        <is>
          <t>Koltuk</t>
        </is>
      </c>
      <c r="C65" s="4" t="inlineStr">
        <is>
          <t>Kil</t>
        </is>
      </c>
      <c r="D65" s="4" t="inlineStr">
        <is>
          <t>om</t>
        </is>
      </c>
      <c r="E65" s="4" t="inlineStr">
        <is>
          <t>etr</t>
        </is>
      </c>
      <c r="F65" s="4" t="inlineStr">
        <is>
          <t>e (</t>
        </is>
      </c>
      <c r="G65" s="4" t="inlineStr">
        <is>
          <t>ASK)</t>
        </is>
      </c>
      <c r="H65" s="4">
        <f> Uç</f>
        <v/>
      </c>
      <c r="I65" s="4" t="inlineStr">
        <is>
          <t>uş</t>
        </is>
      </c>
      <c r="J65" s="4" t="inlineStr">
        <is>
          <t>a arz edilen</t>
        </is>
      </c>
      <c r="K65" s="4" t="inlineStr">
        <is>
          <t>koltuk s</t>
        </is>
      </c>
      <c r="L65" s="4" t="inlineStr">
        <is>
          <t>ayısı x</t>
        </is>
      </c>
      <c r="M65" s="4" t="inlineStr">
        <is>
          <t>Ortalama Uçuş Mesa</t>
        </is>
      </c>
      <c r="N65" s="4" t="inlineStr">
        <is>
          <t>fes</t>
        </is>
      </c>
      <c r="O65" s="4" t="inlineStr">
        <is>
          <t>i</t>
        </is>
      </c>
    </row>
    <row r="67">
      <c r="A67" s="4" t="inlineStr">
        <is>
          <t>Doluluk O</t>
        </is>
      </c>
      <c r="B67" s="4" t="inlineStr">
        <is>
          <t>ranı = B</t>
        </is>
      </c>
      <c r="C67" s="4" t="inlineStr">
        <is>
          <t>ile</t>
        </is>
      </c>
      <c r="D67" s="4" t="inlineStr">
        <is>
          <t>tle</t>
        </is>
      </c>
      <c r="E67" s="4" t="inlineStr">
        <is>
          <t>nm</t>
        </is>
      </c>
      <c r="F67" s="4" t="inlineStr">
        <is>
          <t>iş m</t>
        </is>
      </c>
      <c r="G67" s="4" t="inlineStr">
        <is>
          <t>isa</t>
        </is>
      </c>
      <c r="H67" s="4" t="inlineStr">
        <is>
          <t>fir sa</t>
        </is>
      </c>
      <c r="I67" s="4" t="inlineStr">
        <is>
          <t>yısı</t>
        </is>
      </c>
      <c r="J67" s="4" t="inlineStr">
        <is>
          <t>/ Toplam k</t>
        </is>
      </c>
      <c r="K67" s="4" t="inlineStr">
        <is>
          <t>oltuk sa</t>
        </is>
      </c>
      <c r="L67" s="4" t="inlineStr">
        <is>
          <t>yısı</t>
        </is>
      </c>
    </row>
  </sheetData>
  <mergeCells count="1">
    <mergeCell ref="A17:X1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71"/>
  <sheetViews>
    <sheetView workbookViewId="0">
      <selection activeCell="A1" sqref="A1"/>
    </sheetView>
  </sheetViews>
  <sheetFormatPr baseColWidth="8" defaultRowHeight="15"/>
  <cols>
    <col width="17" customWidth="1" min="1" max="1"/>
    <col width="13" customWidth="1" min="2" max="2"/>
    <col width="13" customWidth="1" min="3" max="3"/>
    <col width="21" customWidth="1" min="4" max="4"/>
    <col width="17" customWidth="1" min="5" max="5"/>
    <col width="12" customWidth="1" min="6" max="6"/>
    <col width="12" customWidth="1" min="7" max="7"/>
    <col width="18" customWidth="1" min="8" max="8"/>
    <col width="12" customWidth="1" min="9" max="9"/>
    <col width="15" customWidth="1" min="10" max="10"/>
    <col width="25" customWidth="1" min="11" max="11"/>
    <col width="20" customWidth="1" min="12" max="12"/>
    <col width="12" customWidth="1" min="13" max="13"/>
    <col width="15" customWidth="1" min="14" max="14"/>
    <col width="12" customWidth="1" min="15" max="15"/>
    <col width="19" customWidth="1" min="16" max="16"/>
    <col width="12" customWidth="1" min="17" max="17"/>
    <col width="12" customWidth="1" min="18" max="18"/>
  </cols>
  <sheetData>
    <row r="1">
      <c r="A1" s="4" t="inlineStr">
        <is>
          <t>P E G A S</t>
        </is>
      </c>
      <c r="B1" s="4" t="inlineStr">
        <is>
          <t>U S</t>
        </is>
      </c>
      <c r="C1" s="4" t="inlineStr">
        <is>
          <t>H</t>
        </is>
      </c>
      <c r="D1" s="4" t="inlineStr">
        <is>
          <t>A V A T A Ş I M</t>
        </is>
      </c>
      <c r="E1" s="4" t="inlineStr">
        <is>
          <t>A C I L I Ğ</t>
        </is>
      </c>
      <c r="F1" s="4" t="inlineStr">
        <is>
          <t>I A</t>
        </is>
      </c>
      <c r="G1" s="4" t="inlineStr">
        <is>
          <t>. Ş</t>
        </is>
      </c>
      <c r="H1" s="4" t="inlineStr">
        <is>
          <t>.</t>
        </is>
      </c>
    </row>
    <row r="3">
      <c r="A3" s="4" t="inlineStr">
        <is>
          <t>E K İ M 2</t>
        </is>
      </c>
      <c r="B3" s="5" t="n">
        <v>2</v>
      </c>
      <c r="C3" s="5" t="n">
        <v>4</v>
      </c>
      <c r="D3" s="4" t="inlineStr">
        <is>
          <t>T R A F İ K S O N</t>
        </is>
      </c>
      <c r="E3" s="4" t="inlineStr">
        <is>
          <t>U Ç L A R</t>
        </is>
      </c>
      <c r="F3" s="4" t="inlineStr">
        <is>
          <t>I</t>
        </is>
      </c>
    </row>
    <row r="5">
      <c r="A5" s="4" t="inlineStr">
        <is>
          <t>A Y L I K</t>
        </is>
      </c>
      <c r="B5" s="4" t="inlineStr">
        <is>
          <t>K</t>
        </is>
      </c>
      <c r="C5" s="4" t="inlineStr">
        <is>
          <t>Ü M Ü</t>
        </is>
      </c>
      <c r="D5" s="4" t="inlineStr">
        <is>
          <t>L A T İ F</t>
        </is>
      </c>
    </row>
    <row r="7">
      <c r="A7" s="4" t="inlineStr">
        <is>
          <t>E</t>
        </is>
      </c>
      <c r="B7" s="4" t="inlineStr">
        <is>
          <t>k i m</t>
        </is>
      </c>
      <c r="C7" s="4" t="inlineStr">
        <is>
          <t>E k i m</t>
        </is>
      </c>
      <c r="D7" s="4" t="inlineStr">
        <is>
          <t>' 2 4 / ' 2 3</t>
        </is>
      </c>
      <c r="E7" s="4" t="inlineStr">
        <is>
          <t>O c a . -</t>
        </is>
      </c>
      <c r="F7" s="4" t="inlineStr">
        <is>
          <t>E k i .</t>
        </is>
      </c>
      <c r="G7" s="4" t="inlineStr">
        <is>
          <t>O c a . -</t>
        </is>
      </c>
      <c r="H7" s="4" t="inlineStr">
        <is>
          <t>E k i . ' 2</t>
        </is>
      </c>
      <c r="I7" s="4" t="inlineStr">
        <is>
          <t>4 /</t>
        </is>
      </c>
      <c r="J7" s="4" t="inlineStr">
        <is>
          <t>' 2</t>
        </is>
      </c>
    </row>
    <row r="9">
      <c r="A9" s="4" t="inlineStr">
        <is>
          <t>2</t>
        </is>
      </c>
      <c r="B9" s="5" t="n">
        <v>24</v>
      </c>
      <c r="C9" s="5" t="n">
        <v>2023</v>
      </c>
      <c r="D9" s="4" t="inlineStr">
        <is>
          <t>% D e ğ .</t>
        </is>
      </c>
      <c r="E9" s="5" t="n">
        <v>202</v>
      </c>
      <c r="F9" s="5" t="n">
        <v>4</v>
      </c>
      <c r="G9" s="5" t="n">
        <v>202</v>
      </c>
      <c r="H9" s="4" t="inlineStr">
        <is>
          <t>3 Y ı l l ı</t>
        </is>
      </c>
      <c r="I9" s="4" t="inlineStr">
        <is>
          <t>k %</t>
        </is>
      </c>
      <c r="J9" s="4" t="inlineStr">
        <is>
          <t>D</t>
        </is>
      </c>
    </row>
    <row r="11">
      <c r="A11" s="4" t="inlineStr">
        <is>
          <t>M i s a f i r s</t>
        </is>
      </c>
      <c r="B11" s="4" t="inlineStr">
        <is>
          <t>a y ı s ı ,</t>
        </is>
      </c>
      <c r="C11" s="4" t="inlineStr">
        <is>
          <t>m</t>
        </is>
      </c>
      <c r="D11" s="4" t="inlineStr">
        <is>
          <t>n</t>
        </is>
      </c>
      <c r="E11" s="5" t="n">
        <v>3</v>
      </c>
      <c r="F11" s="6" t="n">
        <v>0.37</v>
      </c>
      <c r="G11" s="6" t="n">
        <v>3.01</v>
      </c>
      <c r="H11" s="7" t="n">
        <v>0.12</v>
      </c>
      <c r="I11" s="6" t="n">
        <v>31.3</v>
      </c>
      <c r="J11" s="5" t="n">
        <v>4</v>
      </c>
      <c r="K11" s="6" t="n">
        <v>26.8</v>
      </c>
      <c r="L11" s="5" t="n">
        <v>1</v>
      </c>
      <c r="M11" s="5" t="n">
        <v>17</v>
      </c>
      <c r="N11" s="4" t="inlineStr">
        <is>
          <t>%</t>
        </is>
      </c>
    </row>
    <row r="13">
      <c r="A13" s="4" t="inlineStr">
        <is>
          <t>K o n m a</t>
        </is>
      </c>
      <c r="B13" s="5" t="n">
        <v>18</v>
      </c>
      <c r="C13" s="6" t="n">
        <v>0.284</v>
      </c>
      <c r="D13" s="5" t="n">
        <v>17147</v>
      </c>
      <c r="E13" s="7" t="n">
        <v>0.07000000000000001</v>
      </c>
      <c r="F13" s="6" t="n">
        <v>171.9</v>
      </c>
      <c r="G13" s="5" t="n">
        <v>77</v>
      </c>
      <c r="H13" s="6" t="n">
        <v>157.3</v>
      </c>
      <c r="I13" s="5" t="n">
        <v>51</v>
      </c>
      <c r="J13" s="5" t="n">
        <v>9</v>
      </c>
      <c r="K13" s="4" t="inlineStr">
        <is>
          <t>%</t>
        </is>
      </c>
    </row>
    <row r="15">
      <c r="A15" s="4" t="inlineStr">
        <is>
          <t>K o lt u k s</t>
        </is>
      </c>
      <c r="B15" s="4" t="inlineStr">
        <is>
          <t>a y ı s ı ,</t>
        </is>
      </c>
      <c r="C15" s="4" t="inlineStr">
        <is>
          <t>m n</t>
        </is>
      </c>
      <c r="D15" s="5" t="n">
        <v>3</v>
      </c>
      <c r="E15" s="6" t="n">
        <v>0.83</v>
      </c>
      <c r="F15" s="6" t="n">
        <v>3.48</v>
      </c>
      <c r="G15" s="7" t="n">
        <v>0.1</v>
      </c>
      <c r="H15" s="6" t="n">
        <v>35.6</v>
      </c>
      <c r="I15" s="5" t="n">
        <v>2</v>
      </c>
      <c r="J15" s="6" t="n">
        <v>31.6</v>
      </c>
      <c r="K15" s="5" t="n">
        <v>0</v>
      </c>
      <c r="L15" s="5" t="n">
        <v>13</v>
      </c>
      <c r="M15" s="4" t="inlineStr">
        <is>
          <t>%</t>
        </is>
      </c>
    </row>
    <row r="17">
      <c r="A17" s="4" t="inlineStr">
        <is>
          <t>T o p l a</t>
        </is>
      </c>
      <c r="B17" s="4" t="inlineStr">
        <is>
          <t>m</t>
        </is>
      </c>
    </row>
    <row r="18">
      <c r="A18" s="4" t="inlineStr">
        <is>
          <t>D o l u l u k</t>
        </is>
      </c>
      <c r="B18" s="4" t="inlineStr">
        <is>
          <t>O r a n ı</t>
        </is>
      </c>
      <c r="C18" s="5" t="n">
        <v>8</v>
      </c>
      <c r="D18" s="7" t="n">
        <v>0.079</v>
      </c>
      <c r="E18" s="7" t="n">
        <v>0.867</v>
      </c>
      <c r="F18" s="8" t="n">
        <v>1.2</v>
      </c>
      <c r="G18" s="5" t="n">
        <v>88</v>
      </c>
      <c r="H18" s="4" t="inlineStr">
        <is>
          <t>%</t>
        </is>
      </c>
      <c r="I18" s="6" t="n">
        <v>84.8</v>
      </c>
      <c r="J18" s="4" t="inlineStr">
        <is>
          <t>%</t>
        </is>
      </c>
      <c r="K18" s="6" t="n">
        <v>3.1</v>
      </c>
      <c r="L18" s="4" t="inlineStr">
        <is>
          <t>p</t>
        </is>
      </c>
    </row>
    <row r="20">
      <c r="A20" s="4" t="inlineStr">
        <is>
          <t>A S K ( m l</t>
        </is>
      </c>
      <c r="B20" s="4" t="inlineStr">
        <is>
          <t>n k m )</t>
        </is>
      </c>
      <c r="C20" s="5" t="n">
        <v>5</v>
      </c>
      <c r="D20" s="6" t="n">
        <v>0.946</v>
      </c>
      <c r="E20" s="5" t="n">
        <v>5507</v>
      </c>
      <c r="F20" s="7" t="n">
        <v>0.08</v>
      </c>
      <c r="G20" s="6" t="n">
        <v>55.9</v>
      </c>
      <c r="H20" s="5" t="n">
        <v>88</v>
      </c>
      <c r="I20" s="6" t="n">
        <v>49.1</v>
      </c>
      <c r="J20" s="5" t="n">
        <v>16</v>
      </c>
      <c r="K20" s="5" t="n">
        <v>14</v>
      </c>
      <c r="L20" s="4" t="inlineStr">
        <is>
          <t>%</t>
        </is>
      </c>
    </row>
    <row r="22">
      <c r="A22" s="4" t="inlineStr">
        <is>
          <t>K o n m a b</t>
        </is>
      </c>
      <c r="B22" s="4" t="inlineStr">
        <is>
          <t>a ş ı n a</t>
        </is>
      </c>
      <c r="C22" s="4" t="inlineStr">
        <is>
          <t>M i</t>
        </is>
      </c>
      <c r="D22" s="4" t="inlineStr">
        <is>
          <t>s a</t>
        </is>
      </c>
      <c r="E22" s="4" t="inlineStr">
        <is>
          <t>f i r</t>
        </is>
      </c>
      <c r="F22" s="5" t="n">
        <v>184</v>
      </c>
      <c r="G22" s="5" t="n">
        <v>176</v>
      </c>
      <c r="H22" s="7" t="n">
        <v>0.05</v>
      </c>
      <c r="I22" s="5" t="n">
        <v>18</v>
      </c>
      <c r="J22" s="5" t="n">
        <v>2</v>
      </c>
      <c r="K22" s="5" t="n">
        <v>17</v>
      </c>
      <c r="L22" s="5" t="n">
        <v>0</v>
      </c>
      <c r="M22" s="5" t="n">
        <v>7</v>
      </c>
      <c r="N22" s="4" t="inlineStr">
        <is>
          <t>%</t>
        </is>
      </c>
    </row>
    <row r="24">
      <c r="A24" s="4" t="inlineStr">
        <is>
          <t>M i s a f i r s</t>
        </is>
      </c>
      <c r="B24" s="4" t="inlineStr">
        <is>
          <t>a y ı s ı ,</t>
        </is>
      </c>
      <c r="C24" s="4" t="inlineStr">
        <is>
          <t>m</t>
        </is>
      </c>
      <c r="D24" s="4" t="inlineStr">
        <is>
          <t>n</t>
        </is>
      </c>
      <c r="E24" s="5" t="n">
        <v>1</v>
      </c>
      <c r="F24" s="6" t="n">
        <v>0.22</v>
      </c>
      <c r="G24" s="6" t="n">
        <v>1.07</v>
      </c>
      <c r="H24" s="7" t="n">
        <v>0.13</v>
      </c>
      <c r="I24" s="6" t="n">
        <v>11.6</v>
      </c>
      <c r="J24" s="5" t="n">
        <v>8</v>
      </c>
      <c r="K24" s="6" t="n">
        <v>9.800000000000001</v>
      </c>
      <c r="L24" s="5" t="n">
        <v>8</v>
      </c>
      <c r="M24" s="5" t="n">
        <v>18</v>
      </c>
      <c r="N24" s="4" t="inlineStr">
        <is>
          <t>%</t>
        </is>
      </c>
    </row>
    <row r="26">
      <c r="A26" s="4" t="inlineStr">
        <is>
          <t>K o n m a</t>
        </is>
      </c>
      <c r="B26" s="5" t="n">
        <v>6</v>
      </c>
      <c r="C26" s="6" t="n">
        <v>0.373</v>
      </c>
      <c r="D26" s="5" t="n">
        <v>6030</v>
      </c>
      <c r="E26" s="7" t="n">
        <v>0.06</v>
      </c>
      <c r="F26" s="6" t="n">
        <v>61.6</v>
      </c>
      <c r="G26" s="5" t="n">
        <v>20</v>
      </c>
      <c r="H26" s="6" t="n">
        <v>56.5</v>
      </c>
      <c r="I26" s="5" t="n">
        <v>51</v>
      </c>
      <c r="J26" s="5" t="n">
        <v>9</v>
      </c>
      <c r="K26" s="4" t="inlineStr">
        <is>
          <t>%</t>
        </is>
      </c>
    </row>
    <row r="28">
      <c r="A28" s="4" t="inlineStr">
        <is>
          <t>K o lt u k s</t>
        </is>
      </c>
      <c r="B28" s="4" t="inlineStr">
        <is>
          <t>a y ı s ı ,</t>
        </is>
      </c>
      <c r="C28" s="4" t="inlineStr">
        <is>
          <t>m n</t>
        </is>
      </c>
      <c r="D28" s="5" t="n">
        <v>1</v>
      </c>
      <c r="E28" s="6" t="n">
        <v>0.35</v>
      </c>
      <c r="F28" s="6" t="n">
        <v>1.21</v>
      </c>
      <c r="G28" s="7" t="n">
        <v>0.11</v>
      </c>
      <c r="H28" s="6" t="n">
        <v>12.7</v>
      </c>
      <c r="I28" s="5" t="n">
        <v>4</v>
      </c>
      <c r="J28" s="6" t="n">
        <v>11.2</v>
      </c>
      <c r="K28" s="5" t="n">
        <v>2</v>
      </c>
      <c r="L28" s="5" t="n">
        <v>14</v>
      </c>
      <c r="M28" s="4" t="inlineStr">
        <is>
          <t>%</t>
        </is>
      </c>
    </row>
    <row r="30">
      <c r="A30" s="4" t="inlineStr">
        <is>
          <t>İ ç H a t l</t>
        </is>
      </c>
      <c r="B30" s="4" t="inlineStr">
        <is>
          <t>a r</t>
        </is>
      </c>
    </row>
    <row r="31">
      <c r="A31" s="4" t="inlineStr">
        <is>
          <t>D o l u l u k</t>
        </is>
      </c>
      <c r="B31" s="4" t="inlineStr">
        <is>
          <t>O r a n ı</t>
        </is>
      </c>
      <c r="C31" s="5" t="n">
        <v>9</v>
      </c>
      <c r="D31" s="7" t="n">
        <v>0.001</v>
      </c>
      <c r="E31" s="7" t="n">
        <v>0.884</v>
      </c>
      <c r="F31" s="8" t="n">
        <v>1.6</v>
      </c>
      <c r="G31" s="6" t="n">
        <v>91.7</v>
      </c>
      <c r="H31" s="4" t="inlineStr">
        <is>
          <t>%</t>
        </is>
      </c>
      <c r="I31" s="5" t="n">
        <v>88</v>
      </c>
      <c r="J31" s="4" t="inlineStr">
        <is>
          <t>%</t>
        </is>
      </c>
      <c r="K31" s="6" t="n">
        <v>3.7</v>
      </c>
      <c r="L31" s="4" t="inlineStr">
        <is>
          <t>p</t>
        </is>
      </c>
    </row>
    <row r="33">
      <c r="A33" s="4" t="inlineStr">
        <is>
          <t>A S K ( m l</t>
        </is>
      </c>
      <c r="B33" s="4" t="inlineStr">
        <is>
          <t>n k m )</t>
        </is>
      </c>
      <c r="C33" s="5" t="n">
        <v>951</v>
      </c>
      <c r="D33" s="5" t="n">
        <v>900</v>
      </c>
      <c r="E33" s="7" t="n">
        <v>0.06</v>
      </c>
      <c r="F33" s="6" t="n">
        <v>9.41</v>
      </c>
      <c r="G33" s="5" t="n">
        <v>1</v>
      </c>
      <c r="H33" s="6" t="n">
        <v>8.210000000000001</v>
      </c>
      <c r="I33" s="5" t="n">
        <v>5</v>
      </c>
      <c r="J33" s="5" t="n">
        <v>15</v>
      </c>
      <c r="K33" s="4" t="inlineStr">
        <is>
          <t>%</t>
        </is>
      </c>
    </row>
    <row r="35">
      <c r="A35" s="4" t="inlineStr">
        <is>
          <t>K o n m a b</t>
        </is>
      </c>
      <c r="B35" s="4" t="inlineStr">
        <is>
          <t>a ş ı n a</t>
        </is>
      </c>
      <c r="C35" s="4" t="inlineStr">
        <is>
          <t>M i</t>
        </is>
      </c>
      <c r="D35" s="4" t="inlineStr">
        <is>
          <t>s a</t>
        </is>
      </c>
      <c r="E35" s="4" t="inlineStr">
        <is>
          <t>f i r</t>
        </is>
      </c>
      <c r="F35" s="5" t="n">
        <v>191</v>
      </c>
      <c r="G35" s="5" t="n">
        <v>178</v>
      </c>
      <c r="H35" s="7" t="n">
        <v>0.07000000000000001</v>
      </c>
      <c r="I35" s="5" t="n">
        <v>19</v>
      </c>
      <c r="J35" s="5" t="n">
        <v>0</v>
      </c>
      <c r="K35" s="5" t="n">
        <v>17</v>
      </c>
      <c r="L35" s="5" t="n">
        <v>5</v>
      </c>
      <c r="M35" s="5" t="n">
        <v>9</v>
      </c>
      <c r="N35" s="4" t="inlineStr">
        <is>
          <t>%</t>
        </is>
      </c>
    </row>
    <row r="37">
      <c r="A37" s="4" t="inlineStr">
        <is>
          <t>M i s a f i r s</t>
        </is>
      </c>
      <c r="B37" s="4" t="inlineStr">
        <is>
          <t>a y ı s ı ,</t>
        </is>
      </c>
      <c r="C37" s="4" t="inlineStr">
        <is>
          <t>m</t>
        </is>
      </c>
      <c r="D37" s="4" t="inlineStr">
        <is>
          <t>n</t>
        </is>
      </c>
      <c r="E37" s="5" t="n">
        <v>2</v>
      </c>
      <c r="F37" s="6" t="n">
        <v>0.15</v>
      </c>
      <c r="G37" s="6" t="n">
        <v>1.94</v>
      </c>
      <c r="H37" s="7" t="n">
        <v>0.11</v>
      </c>
      <c r="I37" s="6" t="n">
        <v>19.6</v>
      </c>
      <c r="J37" s="5" t="n">
        <v>5</v>
      </c>
      <c r="K37" s="6" t="n">
        <v>16.9</v>
      </c>
      <c r="L37" s="5" t="n">
        <v>3</v>
      </c>
      <c r="M37" s="5" t="n">
        <v>16</v>
      </c>
      <c r="N37" s="4" t="inlineStr">
        <is>
          <t>%</t>
        </is>
      </c>
    </row>
    <row r="39">
      <c r="A39" s="4" t="inlineStr">
        <is>
          <t>K o n m a</t>
        </is>
      </c>
      <c r="B39" s="5" t="n">
        <v>11</v>
      </c>
      <c r="C39" s="6" t="n">
        <v>0.911</v>
      </c>
      <c r="D39" s="5" t="n">
        <v>11117</v>
      </c>
      <c r="E39" s="7" t="n">
        <v>0.07000000000000001</v>
      </c>
      <c r="F39" s="6" t="n">
        <v>110.3</v>
      </c>
      <c r="G39" s="5" t="n">
        <v>57</v>
      </c>
      <c r="H39" s="6" t="n">
        <v>100.8</v>
      </c>
      <c r="I39" s="5" t="n">
        <v>0</v>
      </c>
      <c r="J39" s="5" t="n">
        <v>9</v>
      </c>
      <c r="K39" s="4" t="inlineStr">
        <is>
          <t>%</t>
        </is>
      </c>
    </row>
    <row r="41">
      <c r="A41" s="4" t="inlineStr">
        <is>
          <t>K o lt u k s</t>
        </is>
      </c>
      <c r="B41" s="4" t="inlineStr">
        <is>
          <t>a y ı s ı ,</t>
        </is>
      </c>
      <c r="C41" s="4" t="inlineStr">
        <is>
          <t>m n</t>
        </is>
      </c>
      <c r="D41" s="5" t="n">
        <v>2</v>
      </c>
      <c r="E41" s="6" t="n">
        <v>0.48</v>
      </c>
      <c r="F41" s="6" t="n">
        <v>2.26</v>
      </c>
      <c r="G41" s="7" t="n">
        <v>0.1</v>
      </c>
      <c r="H41" s="6" t="n">
        <v>22.8</v>
      </c>
      <c r="I41" s="5" t="n">
        <v>8</v>
      </c>
      <c r="J41" s="6" t="n">
        <v>20.3</v>
      </c>
      <c r="K41" s="5" t="n">
        <v>7</v>
      </c>
      <c r="L41" s="5" t="n">
        <v>12</v>
      </c>
      <c r="M41" s="4" t="inlineStr">
        <is>
          <t>%</t>
        </is>
      </c>
    </row>
    <row r="43">
      <c r="A43" s="4" t="inlineStr">
        <is>
          <t>D ı ş H a</t>
        </is>
      </c>
      <c r="B43" s="4" t="inlineStr">
        <is>
          <t>t l a</t>
        </is>
      </c>
      <c r="C43" s="4" t="inlineStr">
        <is>
          <t>r *</t>
        </is>
      </c>
    </row>
    <row r="44">
      <c r="A44" s="4" t="inlineStr">
        <is>
          <t>D o l u l u k</t>
        </is>
      </c>
      <c r="B44" s="4" t="inlineStr">
        <is>
          <t>O r a n ı</t>
        </is>
      </c>
      <c r="C44" s="5" t="n">
        <v>8</v>
      </c>
      <c r="D44" s="7" t="n">
        <v>0.067</v>
      </c>
      <c r="E44" s="7" t="n">
        <v>0.858</v>
      </c>
      <c r="F44" s="8" t="n">
        <v>1</v>
      </c>
      <c r="G44" s="6" t="n">
        <v>85.90000000000001</v>
      </c>
      <c r="H44" s="4" t="inlineStr">
        <is>
          <t>%</t>
        </is>
      </c>
      <c r="I44" s="6" t="n">
        <v>83.09999999999999</v>
      </c>
      <c r="J44" s="4" t="inlineStr">
        <is>
          <t>%</t>
        </is>
      </c>
      <c r="K44" s="6" t="n">
        <v>2.8</v>
      </c>
      <c r="L44" s="4" t="inlineStr">
        <is>
          <t>p</t>
        </is>
      </c>
    </row>
    <row r="46">
      <c r="A46" s="4" t="inlineStr">
        <is>
          <t>A S K ( m l</t>
        </is>
      </c>
      <c r="B46" s="4" t="inlineStr">
        <is>
          <t>n k m )</t>
        </is>
      </c>
      <c r="C46" s="5" t="n">
        <v>4</v>
      </c>
      <c r="D46" s="6" t="n">
        <v>0.995</v>
      </c>
      <c r="E46" s="5" t="n">
        <v>4607</v>
      </c>
      <c r="F46" s="7" t="n">
        <v>0.08</v>
      </c>
      <c r="G46" s="6" t="n">
        <v>46.5</v>
      </c>
      <c r="H46" s="5" t="n">
        <v>76</v>
      </c>
      <c r="I46" s="6" t="n">
        <v>40.9</v>
      </c>
      <c r="J46" s="5" t="n">
        <v>1</v>
      </c>
      <c r="K46" s="5" t="n">
        <v>14</v>
      </c>
      <c r="L46" s="4" t="inlineStr">
        <is>
          <t>%</t>
        </is>
      </c>
    </row>
    <row r="48">
      <c r="A48" s="4" t="inlineStr">
        <is>
          <t>K o n m a b</t>
        </is>
      </c>
      <c r="B48" s="4" t="inlineStr">
        <is>
          <t>a ş ı n a</t>
        </is>
      </c>
      <c r="C48" s="4" t="inlineStr">
        <is>
          <t>M i</t>
        </is>
      </c>
      <c r="D48" s="4" t="inlineStr">
        <is>
          <t>s a</t>
        </is>
      </c>
      <c r="E48" s="4" t="inlineStr">
        <is>
          <t>f i r</t>
        </is>
      </c>
      <c r="F48" s="5" t="n">
        <v>180</v>
      </c>
      <c r="G48" s="5" t="n">
        <v>174</v>
      </c>
      <c r="H48" s="7" t="n">
        <v>0.03</v>
      </c>
      <c r="I48" s="5" t="n">
        <v>17</v>
      </c>
      <c r="J48" s="5" t="n">
        <v>8</v>
      </c>
      <c r="K48" s="5" t="n">
        <v>16</v>
      </c>
      <c r="L48" s="5" t="n">
        <v>8</v>
      </c>
      <c r="M48" s="5" t="n">
        <v>6</v>
      </c>
      <c r="N48" s="4" t="inlineStr">
        <is>
          <t>%</t>
        </is>
      </c>
    </row>
    <row r="50">
      <c r="A50" s="4" t="inlineStr">
        <is>
          <t>* C h a r t e</t>
        </is>
      </c>
      <c r="B50" s="4" t="inlineStr">
        <is>
          <t>r d a</t>
        </is>
      </c>
      <c r="C50" s="4" t="inlineStr">
        <is>
          <t>h il</t>
        </is>
      </c>
    </row>
    <row r="52">
      <c r="A52" s="4" t="inlineStr">
        <is>
          <t>K a r b o</t>
        </is>
      </c>
      <c r="B52" s="4" t="inlineStr">
        <is>
          <t>n E</t>
        </is>
      </c>
      <c r="C52" s="4" t="inlineStr">
        <is>
          <t>m</t>
        </is>
      </c>
      <c r="D52" s="4" t="inlineStr">
        <is>
          <t>i s y o n u İ s t a</t>
        </is>
      </c>
      <c r="E52" s="4" t="inlineStr">
        <is>
          <t>t i s t i k l e</t>
        </is>
      </c>
      <c r="F52" s="4" t="inlineStr">
        <is>
          <t>r i</t>
        </is>
      </c>
    </row>
    <row r="54">
      <c r="A54" s="4" t="inlineStr">
        <is>
          <t>A Y L I K</t>
        </is>
      </c>
      <c r="B54" s="4" t="inlineStr">
        <is>
          <t>M</t>
        </is>
      </c>
      <c r="C54" s="4" t="inlineStr">
        <is>
          <t>a y . ' 2 4</t>
        </is>
      </c>
      <c r="D54" s="4" t="inlineStr">
        <is>
          <t>H a z . ' 2 4</t>
        </is>
      </c>
      <c r="E54" s="4" t="inlineStr">
        <is>
          <t>T e m . ' 2 4</t>
        </is>
      </c>
      <c r="F54" s="4" t="inlineStr">
        <is>
          <t>A ğ u . '</t>
        </is>
      </c>
      <c r="G54" s="5" t="n">
        <v>24</v>
      </c>
      <c r="H54" s="4" t="inlineStr">
        <is>
          <t>E y l . '</t>
        </is>
      </c>
      <c r="I54" s="4" t="inlineStr">
        <is>
          <t>2 4 E</t>
        </is>
      </c>
      <c r="J54" s="4" t="inlineStr">
        <is>
          <t>k i .</t>
        </is>
      </c>
      <c r="K54" s="4" t="inlineStr">
        <is>
          <t>' 2</t>
        </is>
      </c>
    </row>
    <row r="56">
      <c r="A56" s="4" t="inlineStr">
        <is>
          <t>C O 2 g r</t>
        </is>
      </c>
      <c r="B56" s="4" t="inlineStr">
        <is>
          <t>a m</t>
        </is>
      </c>
      <c r="C56" s="4" t="inlineStr">
        <is>
          <t>/ R</t>
        </is>
      </c>
      <c r="D56" s="4" t="inlineStr">
        <is>
          <t>P K</t>
        </is>
      </c>
      <c r="E56" s="5" t="n">
        <v>5</v>
      </c>
      <c r="F56" s="6" t="n">
        <v>7.9</v>
      </c>
      <c r="G56" s="6" t="n">
        <v>60.4</v>
      </c>
      <c r="H56" s="6" t="n">
        <v>59.4</v>
      </c>
      <c r="I56" s="6" t="n">
        <v>57.1</v>
      </c>
      <c r="J56" s="5" t="n">
        <v>57</v>
      </c>
      <c r="K56" s="5" t="n">
        <v>8</v>
      </c>
      <c r="L56" s="5" t="n">
        <v>58</v>
      </c>
      <c r="M56" s="6" t="n">
        <v>0.4</v>
      </c>
    </row>
    <row r="58">
      <c r="A58" s="4" t="inlineStr">
        <is>
          <t>K Ü M Ü</t>
        </is>
      </c>
      <c r="B58" s="4" t="inlineStr">
        <is>
          <t>L A</t>
        </is>
      </c>
      <c r="C58" s="4" t="inlineStr">
        <is>
          <t>T İ</t>
        </is>
      </c>
      <c r="D58" s="4" t="inlineStr">
        <is>
          <t>F</t>
        </is>
      </c>
      <c r="E58" s="5" t="n">
        <v>2</v>
      </c>
      <c r="F58" s="5" t="n">
        <v>19</v>
      </c>
      <c r="G58" s="5" t="n">
        <v>2020</v>
      </c>
      <c r="H58" s="5" t="n">
        <v>2021</v>
      </c>
      <c r="I58" s="5" t="n">
        <v>202</v>
      </c>
      <c r="J58" s="5" t="n">
        <v>2</v>
      </c>
      <c r="K58" s="5" t="n">
        <v>202</v>
      </c>
      <c r="L58" s="5" t="n">
        <v>31</v>
      </c>
      <c r="M58" s="4" t="inlineStr">
        <is>
          <t>0 A</t>
        </is>
      </c>
      <c r="N58" s="5" t="n">
        <v>2</v>
      </c>
    </row>
    <row r="60">
      <c r="A60" s="4" t="inlineStr">
        <is>
          <t>C O 2 g r</t>
        </is>
      </c>
      <c r="B60" s="4" t="inlineStr">
        <is>
          <t>a m</t>
        </is>
      </c>
      <c r="C60" s="4" t="inlineStr">
        <is>
          <t>/ R</t>
        </is>
      </c>
      <c r="D60" s="4" t="inlineStr">
        <is>
          <t>P K</t>
        </is>
      </c>
      <c r="E60" s="5" t="n">
        <v>6</v>
      </c>
      <c r="F60" s="6" t="n">
        <v>5.1</v>
      </c>
      <c r="G60" s="6" t="n">
        <v>71.3</v>
      </c>
      <c r="H60" s="5" t="n">
        <v>71</v>
      </c>
      <c r="I60" s="6" t="n">
        <v>62.1</v>
      </c>
      <c r="J60" s="5" t="n">
        <v>61</v>
      </c>
      <c r="K60" s="5" t="n">
        <v>3</v>
      </c>
      <c r="L60" s="5" t="n">
        <v>58</v>
      </c>
      <c r="M60" s="6" t="n">
        <v>0.3</v>
      </c>
    </row>
    <row r="62">
      <c r="A62" s="3" t="inlineStr">
        <is>
          <t>Karbon E</t>
        </is>
      </c>
      <c r="B62" s="3" t="inlineStr">
        <is>
          <t>misy</t>
        </is>
      </c>
      <c r="C62" s="3" t="inlineStr">
        <is>
          <t>on</t>
        </is>
      </c>
      <c r="D62" s="3" t="inlineStr">
        <is>
          <t>u İstatistiklerind</t>
        </is>
      </c>
      <c r="E62" s="3" t="inlineStr">
        <is>
          <t>e (grCO2</t>
        </is>
      </c>
      <c r="F62" s="3" t="inlineStr">
        <is>
          <t>/RP</t>
        </is>
      </c>
      <c r="G62" s="3" t="inlineStr">
        <is>
          <t>K)</t>
        </is>
      </c>
      <c r="H62" s="3" t="inlineStr">
        <is>
          <t>jet yakıtı emisy</t>
        </is>
      </c>
      <c r="I62" s="3" t="inlineStr">
        <is>
          <t>on k</t>
        </is>
      </c>
      <c r="J62" s="3" t="inlineStr">
        <is>
          <t>atsayısı ba</t>
        </is>
      </c>
      <c r="K62" s="3" t="inlineStr">
        <is>
          <t>z yıl ve tüm raporlanan</t>
        </is>
      </c>
      <c r="L62" s="3" t="inlineStr">
        <is>
          <t>dönemler için 3,16</t>
        </is>
      </c>
      <c r="M62" s="3" t="inlineStr">
        <is>
          <t>olarak ku</t>
        </is>
      </c>
      <c r="N62" s="3" t="inlineStr">
        <is>
          <t>llanılmıştır.</t>
        </is>
      </c>
      <c r="O62" s="3" t="inlineStr">
        <is>
          <t>2024 Oc</t>
        </is>
      </c>
      <c r="P62" s="3" t="inlineStr">
        <is>
          <t>ak ayı itibariyle</t>
        </is>
      </c>
      <c r="Q62" s="3" t="inlineStr">
        <is>
          <t>3,1</t>
        </is>
      </c>
      <c r="R62" s="3" t="inlineStr">
        <is>
          <t>6</t>
        </is>
      </c>
    </row>
    <row r="63">
      <c r="A63" s="4" t="inlineStr">
        <is>
          <t>emisyon f</t>
        </is>
      </c>
      <c r="B63" s="4" t="inlineStr">
        <is>
          <t>aktö</t>
        </is>
      </c>
      <c r="C63" s="4" t="inlineStr">
        <is>
          <t>rün</t>
        </is>
      </c>
      <c r="D63" s="4" t="inlineStr">
        <is>
          <t>e geçiş gerçekl</t>
        </is>
      </c>
      <c r="E63" s="4" t="inlineStr">
        <is>
          <t>eştirilmiş</t>
        </is>
      </c>
      <c r="F63" s="4" t="inlineStr">
        <is>
          <t>ve</t>
        </is>
      </c>
      <c r="G63" s="4" t="inlineStr">
        <is>
          <t>bu</t>
        </is>
      </c>
      <c r="H63" s="4" t="inlineStr">
        <is>
          <t>değere göre ge</t>
        </is>
      </c>
      <c r="I63" s="4" t="inlineStr">
        <is>
          <t>çmi</t>
        </is>
      </c>
      <c r="J63" s="4" t="inlineStr">
        <is>
          <t>ş yıllara ait</t>
        </is>
      </c>
      <c r="K63" s="4" t="inlineStr">
        <is>
          <t>aylık emisyon değerleri</t>
        </is>
      </c>
      <c r="L63" s="4" t="inlineStr">
        <is>
          <t>güncellenerek payl</t>
        </is>
      </c>
      <c r="M63" s="4" t="inlineStr">
        <is>
          <t>aşılmıştır</t>
        </is>
      </c>
      <c r="N63" s="4" t="inlineStr">
        <is>
          <t>.</t>
        </is>
      </c>
    </row>
    <row r="65">
      <c r="A65" s="4" t="inlineStr">
        <is>
          <t>Arz edile</t>
        </is>
      </c>
      <c r="B65" s="4" t="inlineStr">
        <is>
          <t>n K</t>
        </is>
      </c>
      <c r="C65" s="4" t="inlineStr">
        <is>
          <t>olt</t>
        </is>
      </c>
      <c r="D65" s="4" t="inlineStr">
        <is>
          <t>uk Kilometre</t>
        </is>
      </c>
      <c r="E65" s="4" t="inlineStr">
        <is>
          <t>(ASK) =</t>
        </is>
      </c>
      <c r="F65" s="4" t="inlineStr">
        <is>
          <t>Uç</t>
        </is>
      </c>
      <c r="G65" s="4" t="inlineStr">
        <is>
          <t>uş</t>
        </is>
      </c>
      <c r="H65" s="4" t="inlineStr">
        <is>
          <t>a arz edilen k</t>
        </is>
      </c>
      <c r="I65" s="4" t="inlineStr">
        <is>
          <t>oltu</t>
        </is>
      </c>
      <c r="J65" s="4" t="inlineStr">
        <is>
          <t>k sayısı x</t>
        </is>
      </c>
      <c r="K65" s="4" t="inlineStr">
        <is>
          <t>Ortalama Uçuş Mes</t>
        </is>
      </c>
      <c r="L65" s="4" t="inlineStr">
        <is>
          <t>afesi</t>
        </is>
      </c>
    </row>
    <row r="67">
      <c r="A67" s="4" t="inlineStr">
        <is>
          <t>Doluluk</t>
        </is>
      </c>
      <c r="B67" s="4" t="inlineStr">
        <is>
          <t>Ora</t>
        </is>
      </c>
      <c r="C67" s="4" t="inlineStr">
        <is>
          <t>nı</t>
        </is>
      </c>
      <c r="D67" s="4">
        <f> Biletlenmiş</f>
        <v/>
      </c>
      <c r="E67" s="4" t="inlineStr">
        <is>
          <t>misafir</t>
        </is>
      </c>
      <c r="F67" s="4" t="inlineStr">
        <is>
          <t>sa</t>
        </is>
      </c>
      <c r="G67" s="4" t="inlineStr">
        <is>
          <t>yısı</t>
        </is>
      </c>
      <c r="H67" s="4" t="inlineStr">
        <is>
          <t>/ Toplam kol</t>
        </is>
      </c>
      <c r="I67" s="4" t="inlineStr">
        <is>
          <t>tuk</t>
        </is>
      </c>
      <c r="J67" s="4" t="inlineStr">
        <is>
          <t>sayısı</t>
        </is>
      </c>
    </row>
    <row r="69">
      <c r="A69" s="4" t="inlineStr">
        <is>
          <t>RPK (Rev</t>
        </is>
      </c>
      <c r="B69" s="4" t="inlineStr">
        <is>
          <t>en</t>
        </is>
      </c>
      <c r="C69" s="4" t="inlineStr">
        <is>
          <t>ue</t>
        </is>
      </c>
      <c r="D69" s="4" t="inlineStr">
        <is>
          <t>Passenger Kil</t>
        </is>
      </c>
      <c r="E69" s="4" t="inlineStr">
        <is>
          <t>ometer)</t>
        </is>
      </c>
      <c r="F69" s="4" t="inlineStr">
        <is>
          <t>: Ü</t>
        </is>
      </c>
      <c r="G69" s="4" t="inlineStr">
        <is>
          <t>cr</t>
        </is>
      </c>
      <c r="H69" s="4" t="inlineStr">
        <is>
          <t>etli Yolcu Kilo</t>
        </is>
      </c>
      <c r="I69" s="4" t="inlineStr">
        <is>
          <t>met</t>
        </is>
      </c>
      <c r="J69" s="4" t="inlineStr">
        <is>
          <t>re</t>
        </is>
      </c>
    </row>
    <row r="71">
      <c r="A71" s="2" t="inlineStr">
        <is>
          <t>Genel (Public)</t>
        </is>
      </c>
    </row>
  </sheetData>
  <mergeCells count="1">
    <mergeCell ref="A71:R7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71"/>
  <sheetViews>
    <sheetView workbookViewId="0">
      <selection activeCell="A1" sqref="A1"/>
    </sheetView>
  </sheetViews>
  <sheetFormatPr baseColWidth="8" defaultRowHeight="15"/>
  <cols>
    <col width="17" customWidth="1" min="1" max="1"/>
    <col width="12" customWidth="1" min="2" max="2"/>
    <col width="13" customWidth="1" min="3" max="3"/>
    <col width="12" customWidth="1" min="4" max="4"/>
    <col width="12" customWidth="1" min="5" max="5"/>
    <col width="22" customWidth="1" min="6" max="6"/>
    <col width="12" customWidth="1" min="7" max="7"/>
    <col width="12" customWidth="1" min="8" max="8"/>
    <col width="15" customWidth="1" min="9" max="9"/>
    <col width="13" customWidth="1" min="10" max="10"/>
    <col width="19" customWidth="1" min="11" max="11"/>
    <col width="12" customWidth="1" min="12" max="12"/>
    <col width="15" customWidth="1" min="13" max="13"/>
    <col width="12" customWidth="1" min="14" max="14"/>
    <col width="16" customWidth="1" min="15" max="15"/>
    <col width="12" customWidth="1" min="16" max="16"/>
    <col width="17" customWidth="1" min="17" max="17"/>
    <col width="12" customWidth="1" min="18" max="18"/>
    <col width="18" customWidth="1" min="19" max="19"/>
    <col width="12" customWidth="1" min="20" max="20"/>
    <col width="12" customWidth="1" min="21" max="21"/>
  </cols>
  <sheetData>
    <row r="1">
      <c r="A1" s="4" t="inlineStr">
        <is>
          <t>P E G A S</t>
        </is>
      </c>
      <c r="B1" s="4" t="inlineStr">
        <is>
          <t>U S</t>
        </is>
      </c>
      <c r="C1" s="4" t="inlineStr">
        <is>
          <t>H A</t>
        </is>
      </c>
      <c r="D1" s="4" t="inlineStr">
        <is>
          <t>V A T A Ş</t>
        </is>
      </c>
      <c r="E1" s="4" t="inlineStr">
        <is>
          <t>I M</t>
        </is>
      </c>
      <c r="F1" s="4" t="inlineStr">
        <is>
          <t>A C I L I Ğ</t>
        </is>
      </c>
      <c r="G1" s="4" t="inlineStr">
        <is>
          <t>I A</t>
        </is>
      </c>
      <c r="H1" s="4" t="inlineStr">
        <is>
          <t>. Ş .</t>
        </is>
      </c>
    </row>
    <row r="3">
      <c r="A3" s="4" t="inlineStr">
        <is>
          <t>K A S I M</t>
        </is>
      </c>
      <c r="B3" s="5" t="n">
        <v>20</v>
      </c>
      <c r="C3" s="4" t="inlineStr">
        <is>
          <t>2 4 T</t>
        </is>
      </c>
      <c r="D3" s="4" t="inlineStr">
        <is>
          <t>R A F İ K</t>
        </is>
      </c>
      <c r="E3" s="4" t="inlineStr">
        <is>
          <t>S O</t>
        </is>
      </c>
      <c r="F3" s="4" t="inlineStr">
        <is>
          <t>N U Ç L A</t>
        </is>
      </c>
      <c r="G3" s="4" t="inlineStr">
        <is>
          <t>R I</t>
        </is>
      </c>
    </row>
    <row r="5">
      <c r="A5" s="4" t="inlineStr">
        <is>
          <t>A</t>
        </is>
      </c>
      <c r="B5" s="4" t="inlineStr">
        <is>
          <t>Y L I K</t>
        </is>
      </c>
      <c r="C5" s="4" t="inlineStr">
        <is>
          <t>K Ü</t>
        </is>
      </c>
      <c r="D5" s="4" t="inlineStr">
        <is>
          <t>M Ü</t>
        </is>
      </c>
      <c r="E5" s="4" t="inlineStr">
        <is>
          <t>L A T İ F</t>
        </is>
      </c>
    </row>
    <row r="7">
      <c r="A7" s="4" t="inlineStr">
        <is>
          <t>K a s</t>
        </is>
      </c>
      <c r="B7" s="4" t="inlineStr">
        <is>
          <t>ı m K</t>
        </is>
      </c>
      <c r="C7" s="4" t="inlineStr">
        <is>
          <t>a s ı m</t>
        </is>
      </c>
      <c r="D7" s="4" t="inlineStr">
        <is>
          <t>' 2</t>
        </is>
      </c>
      <c r="E7" s="4" t="inlineStr">
        <is>
          <t>4 /</t>
        </is>
      </c>
      <c r="F7" s="4" t="inlineStr">
        <is>
          <t>' 2 3</t>
        </is>
      </c>
      <c r="G7" s="4" t="inlineStr">
        <is>
          <t>O c a . -</t>
        </is>
      </c>
      <c r="H7" s="4" t="inlineStr">
        <is>
          <t>K a s . O</t>
        </is>
      </c>
      <c r="I7" s="4" t="inlineStr">
        <is>
          <t>c a . -</t>
        </is>
      </c>
      <c r="J7" s="4" t="inlineStr">
        <is>
          <t>K a s . ' 2</t>
        </is>
      </c>
      <c r="K7" s="4" t="inlineStr">
        <is>
          <t>4 /</t>
        </is>
      </c>
      <c r="L7" s="4" t="inlineStr">
        <is>
          <t>' 2 3</t>
        </is>
      </c>
    </row>
    <row r="9">
      <c r="A9" s="4" t="inlineStr">
        <is>
          <t>2 0</t>
        </is>
      </c>
      <c r="B9" s="5" t="n">
        <v>24</v>
      </c>
      <c r="C9" s="5" t="n">
        <v>2023</v>
      </c>
      <c r="D9" s="4" t="inlineStr">
        <is>
          <t>%</t>
        </is>
      </c>
      <c r="E9" s="4" t="inlineStr">
        <is>
          <t>D</t>
        </is>
      </c>
      <c r="F9" s="4" t="inlineStr">
        <is>
          <t>e ğ .</t>
        </is>
      </c>
      <c r="G9" s="5" t="n">
        <v>202</v>
      </c>
      <c r="H9" s="5" t="n">
        <v>4</v>
      </c>
      <c r="I9" s="5" t="n">
        <v>202</v>
      </c>
      <c r="J9" s="4" t="inlineStr">
        <is>
          <t>3 Y ı l l ı</t>
        </is>
      </c>
      <c r="K9" s="4" t="inlineStr">
        <is>
          <t>k %</t>
        </is>
      </c>
      <c r="L9" s="4" t="inlineStr">
        <is>
          <t>D e</t>
        </is>
      </c>
    </row>
    <row r="11">
      <c r="A11" s="4" t="inlineStr">
        <is>
          <t>M i s a</t>
        </is>
      </c>
      <c r="B11" s="4" t="inlineStr">
        <is>
          <t>f i r s</t>
        </is>
      </c>
      <c r="C11" s="4" t="inlineStr">
        <is>
          <t>a y ı s ı ,</t>
        </is>
      </c>
      <c r="D11" s="4" t="inlineStr">
        <is>
          <t>m n</t>
        </is>
      </c>
      <c r="E11" s="5" t="n">
        <v>3</v>
      </c>
      <c r="F11" s="5" t="n">
        <v>4</v>
      </c>
      <c r="G11" s="6" t="n">
        <v>2.53</v>
      </c>
      <c r="H11" s="5" t="n">
        <v>2</v>
      </c>
      <c r="I11" s="5" t="n">
        <v>0</v>
      </c>
      <c r="J11" s="4" t="inlineStr">
        <is>
          <t>%</t>
        </is>
      </c>
      <c r="K11" s="5" t="n">
        <v>34</v>
      </c>
      <c r="L11" s="5" t="n">
        <v>38</v>
      </c>
      <c r="M11" s="6" t="n">
        <v>29.3</v>
      </c>
      <c r="N11" s="5" t="n">
        <v>4</v>
      </c>
      <c r="O11" s="5" t="n">
        <v>17</v>
      </c>
      <c r="P11" s="4" t="inlineStr">
        <is>
          <t>%</t>
        </is>
      </c>
    </row>
    <row r="13">
      <c r="A13" s="4" t="inlineStr">
        <is>
          <t>K o n</t>
        </is>
      </c>
      <c r="B13" s="4" t="inlineStr">
        <is>
          <t>m a</t>
        </is>
      </c>
      <c r="C13" s="6" t="n">
        <v>16.7</v>
      </c>
      <c r="D13" s="5" t="n">
        <v>41</v>
      </c>
      <c r="E13" s="5" t="n">
        <v>4559</v>
      </c>
      <c r="F13" s="5" t="n">
        <v>1</v>
      </c>
      <c r="G13" s="5" t="n">
        <v>5</v>
      </c>
      <c r="H13" s="4" t="inlineStr">
        <is>
          <t>%</t>
        </is>
      </c>
      <c r="I13" s="6" t="n">
        <v>188.6</v>
      </c>
      <c r="J13" s="5" t="n">
        <v>811</v>
      </c>
      <c r="K13" s="6" t="n">
        <v>71.90000000000001</v>
      </c>
      <c r="L13" s="5" t="n">
        <v>10</v>
      </c>
      <c r="M13" s="5" t="n">
        <v>10</v>
      </c>
      <c r="N13" s="4" t="inlineStr">
        <is>
          <t>%</t>
        </is>
      </c>
    </row>
    <row r="15">
      <c r="A15" s="4" t="inlineStr">
        <is>
          <t>K o lt u</t>
        </is>
      </c>
      <c r="B15" s="4" t="inlineStr">
        <is>
          <t>k s a</t>
        </is>
      </c>
      <c r="C15" s="4" t="inlineStr">
        <is>
          <t>y ı s ı ,</t>
        </is>
      </c>
      <c r="D15" s="4" t="inlineStr">
        <is>
          <t>m n</t>
        </is>
      </c>
      <c r="E15" s="5" t="n">
        <v>3</v>
      </c>
      <c r="F15" s="5" t="n">
        <v>49</v>
      </c>
      <c r="G15" s="6" t="n">
        <v>2.97</v>
      </c>
      <c r="H15" s="5" t="n">
        <v>1</v>
      </c>
      <c r="I15" s="5" t="n">
        <v>8</v>
      </c>
      <c r="J15" s="4" t="inlineStr">
        <is>
          <t>%</t>
        </is>
      </c>
      <c r="K15" s="5" t="n">
        <v>39</v>
      </c>
      <c r="L15" s="5" t="n">
        <v>11</v>
      </c>
      <c r="M15" s="6" t="n">
        <v>34.5</v>
      </c>
      <c r="N15" s="5" t="n">
        <v>7</v>
      </c>
      <c r="O15" s="5" t="n">
        <v>13</v>
      </c>
      <c r="P15" s="4" t="inlineStr">
        <is>
          <t>%</t>
        </is>
      </c>
    </row>
    <row r="17">
      <c r="A17" s="2" t="inlineStr">
        <is>
          <t>T o p l a m</t>
        </is>
      </c>
    </row>
    <row r="18">
      <c r="A18" s="4" t="inlineStr">
        <is>
          <t>D o l u</t>
        </is>
      </c>
      <c r="B18" s="4" t="inlineStr">
        <is>
          <t>l u k</t>
        </is>
      </c>
      <c r="C18" s="4" t="inlineStr">
        <is>
          <t>O r a n ı</t>
        </is>
      </c>
      <c r="D18" s="5" t="n">
        <v>87</v>
      </c>
      <c r="E18" s="7" t="n">
        <v>0.08</v>
      </c>
      <c r="F18" s="7" t="n">
        <v>0.05400000000000001</v>
      </c>
      <c r="G18" s="5" t="n">
        <v>1</v>
      </c>
      <c r="H18" s="6" t="n">
        <v>0.6</v>
      </c>
      <c r="I18" s="4" t="inlineStr">
        <is>
          <t>p</t>
        </is>
      </c>
      <c r="J18" s="6" t="n">
        <v>87.90000000000001</v>
      </c>
      <c r="K18" s="4" t="inlineStr">
        <is>
          <t>%</t>
        </is>
      </c>
      <c r="L18" s="6" t="n">
        <v>84.90000000000001</v>
      </c>
      <c r="M18" s="4" t="inlineStr">
        <is>
          <t>%</t>
        </is>
      </c>
      <c r="N18" s="5" t="n">
        <v>3</v>
      </c>
      <c r="O18" s="8" t="n">
        <v>0</v>
      </c>
    </row>
    <row r="20">
      <c r="A20" s="4" t="inlineStr">
        <is>
          <t>A S K</t>
        </is>
      </c>
      <c r="B20" s="4" t="inlineStr">
        <is>
          <t>( m l</t>
        </is>
      </c>
      <c r="C20" s="4" t="inlineStr">
        <is>
          <t>n k m )</t>
        </is>
      </c>
      <c r="D20" s="6" t="n">
        <v>5.3</v>
      </c>
      <c r="E20" s="5" t="n">
        <v>0</v>
      </c>
      <c r="F20" s="5" t="n">
        <v>4397</v>
      </c>
      <c r="G20" s="5" t="n">
        <v>2</v>
      </c>
      <c r="H20" s="5" t="n">
        <v>1</v>
      </c>
      <c r="I20" s="4" t="inlineStr">
        <is>
          <t>%</t>
        </is>
      </c>
      <c r="J20" s="6" t="n">
        <v>61.2</v>
      </c>
      <c r="K20" s="5" t="n">
        <v>87</v>
      </c>
      <c r="L20" s="6" t="n">
        <v>53.5</v>
      </c>
      <c r="M20" s="5" t="n">
        <v>14</v>
      </c>
      <c r="N20" s="5" t="n">
        <v>15</v>
      </c>
      <c r="O20" s="4" t="inlineStr">
        <is>
          <t>%</t>
        </is>
      </c>
    </row>
    <row r="22">
      <c r="A22" s="4" t="inlineStr">
        <is>
          <t>K o n</t>
        </is>
      </c>
      <c r="B22" s="4" t="inlineStr">
        <is>
          <t>m a b</t>
        </is>
      </c>
      <c r="C22" s="4" t="inlineStr">
        <is>
          <t>a ş ı n a</t>
        </is>
      </c>
      <c r="D22" s="4" t="inlineStr">
        <is>
          <t>M i s</t>
        </is>
      </c>
      <c r="E22" s="4" t="inlineStr">
        <is>
          <t>a f</t>
        </is>
      </c>
      <c r="F22" s="4" t="inlineStr">
        <is>
          <t>i r</t>
        </is>
      </c>
      <c r="G22" s="5" t="n">
        <v>18</v>
      </c>
      <c r="H22" s="5" t="n">
        <v>2</v>
      </c>
      <c r="I22" s="5" t="n">
        <v>174</v>
      </c>
      <c r="J22" s="7" t="n">
        <v>0.05</v>
      </c>
      <c r="K22" s="5" t="n">
        <v>18</v>
      </c>
      <c r="L22" s="5" t="n">
        <v>2</v>
      </c>
      <c r="M22" s="5" t="n">
        <v>17</v>
      </c>
      <c r="N22" s="5" t="n">
        <v>1</v>
      </c>
      <c r="O22" s="5" t="n">
        <v>7</v>
      </c>
      <c r="P22" s="4" t="inlineStr">
        <is>
          <t>%</t>
        </is>
      </c>
    </row>
    <row r="24">
      <c r="A24" s="4" t="inlineStr">
        <is>
          <t>M i s a</t>
        </is>
      </c>
      <c r="B24" s="4" t="inlineStr">
        <is>
          <t>f i r s</t>
        </is>
      </c>
      <c r="C24" s="4" t="inlineStr">
        <is>
          <t>a y ı s ı ,</t>
        </is>
      </c>
      <c r="D24" s="4" t="inlineStr">
        <is>
          <t>m n</t>
        </is>
      </c>
      <c r="E24" s="5" t="n">
        <v>1</v>
      </c>
      <c r="F24" s="5" t="n">
        <v>18</v>
      </c>
      <c r="G24" s="6" t="n">
        <v>1.08</v>
      </c>
      <c r="H24" s="5" t="n">
        <v>1</v>
      </c>
      <c r="I24" s="5" t="n">
        <v>0</v>
      </c>
      <c r="J24" s="4" t="inlineStr">
        <is>
          <t>%</t>
        </is>
      </c>
      <c r="K24" s="5" t="n">
        <v>12</v>
      </c>
      <c r="L24" s="5" t="n">
        <v>87</v>
      </c>
      <c r="M24" s="6" t="n">
        <v>10.9</v>
      </c>
      <c r="N24" s="5" t="n">
        <v>6</v>
      </c>
      <c r="O24" s="5" t="n">
        <v>17</v>
      </c>
      <c r="P24" s="4" t="inlineStr">
        <is>
          <t>%</t>
        </is>
      </c>
    </row>
    <row r="26">
      <c r="A26" s="4" t="inlineStr">
        <is>
          <t>K o n</t>
        </is>
      </c>
      <c r="B26" s="4" t="inlineStr">
        <is>
          <t>m a</t>
        </is>
      </c>
      <c r="C26" s="6" t="n">
        <v>6.1</v>
      </c>
      <c r="D26" s="5" t="n">
        <v>90</v>
      </c>
      <c r="E26" s="5" t="n">
        <v>6110</v>
      </c>
      <c r="F26" s="7" t="n">
        <v>0.01</v>
      </c>
      <c r="G26" s="6" t="n">
        <v>67.8</v>
      </c>
      <c r="H26" s="5" t="n">
        <v>10</v>
      </c>
      <c r="I26" s="6" t="n">
        <v>62.6</v>
      </c>
      <c r="J26" s="5" t="n">
        <v>61</v>
      </c>
      <c r="K26" s="5" t="n">
        <v>8</v>
      </c>
      <c r="L26" s="4" t="inlineStr">
        <is>
          <t>%</t>
        </is>
      </c>
    </row>
    <row r="28">
      <c r="A28" s="4" t="inlineStr">
        <is>
          <t>K o lt u</t>
        </is>
      </c>
      <c r="B28" s="4" t="inlineStr">
        <is>
          <t>k s a</t>
        </is>
      </c>
      <c r="C28" s="4" t="inlineStr">
        <is>
          <t>y ı s ı ,</t>
        </is>
      </c>
      <c r="D28" s="4" t="inlineStr">
        <is>
          <t>m n</t>
        </is>
      </c>
      <c r="E28" s="5" t="n">
        <v>1</v>
      </c>
      <c r="F28" s="5" t="n">
        <v>30</v>
      </c>
      <c r="G28" s="6" t="n">
        <v>1.23</v>
      </c>
      <c r="H28" s="7" t="n">
        <v>0.06</v>
      </c>
      <c r="I28" s="5" t="n">
        <v>14</v>
      </c>
      <c r="J28" s="5" t="n">
        <v>4</v>
      </c>
      <c r="K28" s="6" t="n">
        <v>12.4</v>
      </c>
      <c r="L28" s="5" t="n">
        <v>5</v>
      </c>
      <c r="M28" s="5" t="n">
        <v>13</v>
      </c>
      <c r="N28" s="4" t="inlineStr">
        <is>
          <t>%</t>
        </is>
      </c>
    </row>
    <row r="30">
      <c r="A30" s="4" t="inlineStr">
        <is>
          <t>İ ç H a t l</t>
        </is>
      </c>
      <c r="B30" s="4" t="inlineStr">
        <is>
          <t>a r</t>
        </is>
      </c>
    </row>
    <row r="31">
      <c r="A31" s="4" t="inlineStr">
        <is>
          <t>D o l u</t>
        </is>
      </c>
      <c r="B31" s="4" t="inlineStr">
        <is>
          <t>l u k</t>
        </is>
      </c>
      <c r="C31" s="4" t="inlineStr">
        <is>
          <t>O r a n ı</t>
        </is>
      </c>
      <c r="D31" s="5" t="n">
        <v>91</v>
      </c>
      <c r="E31" s="7" t="n">
        <v>0.28</v>
      </c>
      <c r="F31" s="7" t="n">
        <v>0.081</v>
      </c>
      <c r="G31" s="5" t="n">
        <v>3</v>
      </c>
      <c r="H31" s="6" t="n">
        <v>0.2</v>
      </c>
      <c r="I31" s="4" t="inlineStr">
        <is>
          <t>p</t>
        </is>
      </c>
      <c r="J31" s="6" t="n">
        <v>91.7</v>
      </c>
      <c r="K31" s="4" t="inlineStr">
        <is>
          <t>%</t>
        </is>
      </c>
      <c r="L31" s="5" t="n">
        <v>88</v>
      </c>
      <c r="M31" s="4" t="inlineStr">
        <is>
          <t>%</t>
        </is>
      </c>
      <c r="N31" s="5" t="n">
        <v>3</v>
      </c>
      <c r="O31" s="8" t="n">
        <v>6</v>
      </c>
    </row>
    <row r="33">
      <c r="A33" s="4" t="inlineStr">
        <is>
          <t>A S K</t>
        </is>
      </c>
      <c r="B33" s="4" t="inlineStr">
        <is>
          <t>( m l</t>
        </is>
      </c>
      <c r="C33" s="4" t="inlineStr">
        <is>
          <t>n k m )</t>
        </is>
      </c>
      <c r="D33" s="5" t="n">
        <v>97</v>
      </c>
      <c r="E33" s="5" t="n">
        <v>4</v>
      </c>
      <c r="F33" s="5" t="n">
        <v>929</v>
      </c>
      <c r="G33" s="7" t="n">
        <v>0.05</v>
      </c>
      <c r="H33" s="6" t="n">
        <v>10.3</v>
      </c>
      <c r="I33" s="5" t="n">
        <v>85</v>
      </c>
      <c r="J33" s="6" t="n">
        <v>9.140000000000001</v>
      </c>
      <c r="K33" s="5" t="n">
        <v>5</v>
      </c>
      <c r="L33" s="5" t="n">
        <v>14</v>
      </c>
      <c r="M33" s="4" t="inlineStr">
        <is>
          <t>%</t>
        </is>
      </c>
    </row>
    <row r="35">
      <c r="A35" s="4" t="inlineStr">
        <is>
          <t>K o n</t>
        </is>
      </c>
      <c r="B35" s="4" t="inlineStr">
        <is>
          <t>m a b</t>
        </is>
      </c>
      <c r="C35" s="4" t="inlineStr">
        <is>
          <t>a ş ı n a</t>
        </is>
      </c>
      <c r="D35" s="4" t="inlineStr">
        <is>
          <t>M i s</t>
        </is>
      </c>
      <c r="E35" s="4" t="inlineStr">
        <is>
          <t>a f</t>
        </is>
      </c>
      <c r="F35" s="4" t="inlineStr">
        <is>
          <t>i r</t>
        </is>
      </c>
      <c r="G35" s="5" t="n">
        <v>19</v>
      </c>
      <c r="H35" s="5" t="n">
        <v>1</v>
      </c>
      <c r="I35" s="5" t="n">
        <v>177</v>
      </c>
      <c r="J35" s="7" t="n">
        <v>0.08</v>
      </c>
      <c r="K35" s="5" t="n">
        <v>19</v>
      </c>
      <c r="L35" s="5" t="n">
        <v>0</v>
      </c>
      <c r="M35" s="5" t="n">
        <v>17</v>
      </c>
      <c r="N35" s="5" t="n">
        <v>5</v>
      </c>
      <c r="O35" s="5" t="n">
        <v>8</v>
      </c>
      <c r="P35" s="4" t="inlineStr">
        <is>
          <t>%</t>
        </is>
      </c>
    </row>
    <row r="37">
      <c r="A37" s="4" t="inlineStr">
        <is>
          <t>M i s a</t>
        </is>
      </c>
      <c r="B37" s="4" t="inlineStr">
        <is>
          <t>f i r s</t>
        </is>
      </c>
      <c r="C37" s="4" t="inlineStr">
        <is>
          <t>a y ı s ı ,</t>
        </is>
      </c>
      <c r="D37" s="4" t="inlineStr">
        <is>
          <t>m n</t>
        </is>
      </c>
      <c r="E37" s="5" t="n">
        <v>1</v>
      </c>
      <c r="F37" s="5" t="n">
        <v>86</v>
      </c>
      <c r="G37" s="6" t="n">
        <v>1.45</v>
      </c>
      <c r="H37" s="5" t="n">
        <v>2</v>
      </c>
      <c r="I37" s="5" t="n">
        <v>8</v>
      </c>
      <c r="J37" s="4" t="inlineStr">
        <is>
          <t>%</t>
        </is>
      </c>
      <c r="K37" s="5" t="n">
        <v>21</v>
      </c>
      <c r="L37" s="5" t="n">
        <v>51</v>
      </c>
      <c r="M37" s="6" t="n">
        <v>18.3</v>
      </c>
      <c r="N37" s="5" t="n">
        <v>8</v>
      </c>
      <c r="O37" s="5" t="n">
        <v>17</v>
      </c>
      <c r="P37" s="4" t="inlineStr">
        <is>
          <t>%</t>
        </is>
      </c>
    </row>
    <row r="39">
      <c r="A39" s="4" t="inlineStr">
        <is>
          <t>K o n</t>
        </is>
      </c>
      <c r="B39" s="4" t="inlineStr">
        <is>
          <t>m a</t>
        </is>
      </c>
      <c r="C39" s="6" t="n">
        <v>10.5</v>
      </c>
      <c r="D39" s="5" t="n">
        <v>14</v>
      </c>
      <c r="E39" s="5" t="n">
        <v>8449</v>
      </c>
      <c r="F39" s="5" t="n">
        <v>2</v>
      </c>
      <c r="G39" s="5" t="n">
        <v>4</v>
      </c>
      <c r="H39" s="4" t="inlineStr">
        <is>
          <t>%</t>
        </is>
      </c>
      <c r="I39" s="6" t="n">
        <v>120.8</v>
      </c>
      <c r="J39" s="5" t="n">
        <v>711</v>
      </c>
      <c r="K39" s="6" t="n">
        <v>9.199999999999999</v>
      </c>
      <c r="L39" s="5" t="n">
        <v>49</v>
      </c>
      <c r="M39" s="5" t="n">
        <v>11</v>
      </c>
      <c r="N39" s="4" t="inlineStr">
        <is>
          <t>%</t>
        </is>
      </c>
    </row>
    <row r="41">
      <c r="A41" s="4" t="inlineStr">
        <is>
          <t>K o lt u</t>
        </is>
      </c>
      <c r="B41" s="4" t="inlineStr">
        <is>
          <t>k s a</t>
        </is>
      </c>
      <c r="C41" s="4" t="inlineStr">
        <is>
          <t>y ı s ı ,</t>
        </is>
      </c>
      <c r="D41" s="4" t="inlineStr">
        <is>
          <t>m n</t>
        </is>
      </c>
      <c r="E41" s="5" t="n">
        <v>2</v>
      </c>
      <c r="F41" s="5" t="n">
        <v>20</v>
      </c>
      <c r="G41" s="6" t="n">
        <v>1.74</v>
      </c>
      <c r="H41" s="5" t="n">
        <v>2</v>
      </c>
      <c r="I41" s="5" t="n">
        <v>6</v>
      </c>
      <c r="J41" s="4" t="inlineStr">
        <is>
          <t>%</t>
        </is>
      </c>
      <c r="K41" s="5" t="n">
        <v>25</v>
      </c>
      <c r="L41" s="5" t="n">
        <v>8</v>
      </c>
      <c r="M41" s="6" t="n">
        <v>22.1</v>
      </c>
      <c r="N41" s="5" t="n">
        <v>2</v>
      </c>
      <c r="O41" s="5" t="n">
        <v>13</v>
      </c>
      <c r="P41" s="4" t="inlineStr">
        <is>
          <t>%</t>
        </is>
      </c>
    </row>
    <row r="43">
      <c r="A43" s="4" t="inlineStr">
        <is>
          <t>D ı ş H a</t>
        </is>
      </c>
      <c r="B43" s="4" t="inlineStr">
        <is>
          <t>t l a</t>
        </is>
      </c>
      <c r="C43" s="4" t="inlineStr">
        <is>
          <t>r *</t>
        </is>
      </c>
    </row>
    <row r="44">
      <c r="A44" s="4" t="inlineStr">
        <is>
          <t>D o l u</t>
        </is>
      </c>
      <c r="B44" s="4" t="inlineStr">
        <is>
          <t>l u k</t>
        </is>
      </c>
      <c r="C44" s="4" t="inlineStr">
        <is>
          <t>O r a n ı</t>
        </is>
      </c>
      <c r="D44" s="5" t="n">
        <v>84</v>
      </c>
      <c r="E44" s="7" t="n">
        <v>0.58</v>
      </c>
      <c r="F44" s="7" t="n">
        <v>0.035</v>
      </c>
      <c r="G44" s="5" t="n">
        <v>1</v>
      </c>
      <c r="H44" s="5" t="n">
        <v>0</v>
      </c>
      <c r="I44" s="4" t="inlineStr">
        <is>
          <t>p</t>
        </is>
      </c>
      <c r="J44" s="6" t="n">
        <v>85.8</v>
      </c>
      <c r="K44" s="4" t="inlineStr">
        <is>
          <t>%</t>
        </is>
      </c>
      <c r="L44" s="6" t="n">
        <v>83.09999999999999</v>
      </c>
      <c r="M44" s="4" t="inlineStr">
        <is>
          <t>%</t>
        </is>
      </c>
      <c r="N44" s="5" t="n">
        <v>2</v>
      </c>
      <c r="O44" s="8" t="n">
        <v>7</v>
      </c>
    </row>
    <row r="46">
      <c r="A46" s="4" t="inlineStr">
        <is>
          <t>A S K</t>
        </is>
      </c>
      <c r="B46" s="4" t="inlineStr">
        <is>
          <t>( m l</t>
        </is>
      </c>
      <c r="C46" s="4" t="inlineStr">
        <is>
          <t>n k m )</t>
        </is>
      </c>
      <c r="D46" s="6" t="n">
        <v>4.3</v>
      </c>
      <c r="E46" s="5" t="n">
        <v>26</v>
      </c>
      <c r="F46" s="5" t="n">
        <v>3468</v>
      </c>
      <c r="G46" s="5" t="n">
        <v>2</v>
      </c>
      <c r="H46" s="5" t="n">
        <v>5</v>
      </c>
      <c r="I46" s="4" t="inlineStr">
        <is>
          <t>%</t>
        </is>
      </c>
      <c r="J46" s="6" t="n">
        <v>50.9</v>
      </c>
      <c r="K46" s="5" t="n">
        <v>2</v>
      </c>
      <c r="L46" s="6" t="n">
        <v>44.3</v>
      </c>
      <c r="M46" s="5" t="n">
        <v>69</v>
      </c>
      <c r="N46" s="5" t="n">
        <v>15</v>
      </c>
      <c r="O46" s="4" t="inlineStr">
        <is>
          <t>%</t>
        </is>
      </c>
    </row>
    <row r="48">
      <c r="A48" s="4" t="inlineStr">
        <is>
          <t>K o n</t>
        </is>
      </c>
      <c r="B48" s="4" t="inlineStr">
        <is>
          <t>m a b</t>
        </is>
      </c>
      <c r="C48" s="4" t="inlineStr">
        <is>
          <t>a ş ı n a</t>
        </is>
      </c>
      <c r="D48" s="4" t="inlineStr">
        <is>
          <t>M i s</t>
        </is>
      </c>
      <c r="E48" s="4" t="inlineStr">
        <is>
          <t>a f</t>
        </is>
      </c>
      <c r="F48" s="4" t="inlineStr">
        <is>
          <t>i r</t>
        </is>
      </c>
      <c r="G48" s="5" t="n">
        <v>17</v>
      </c>
      <c r="H48" s="5" t="n">
        <v>7</v>
      </c>
      <c r="I48" s="5" t="n">
        <v>172</v>
      </c>
      <c r="J48" s="7" t="n">
        <v>0.03</v>
      </c>
      <c r="K48" s="5" t="n">
        <v>17</v>
      </c>
      <c r="L48" s="5" t="n">
        <v>8</v>
      </c>
      <c r="M48" s="5" t="n">
        <v>16</v>
      </c>
      <c r="N48" s="5" t="n">
        <v>8</v>
      </c>
      <c r="O48" s="5" t="n">
        <v>6</v>
      </c>
      <c r="P48" s="4" t="inlineStr">
        <is>
          <t>%</t>
        </is>
      </c>
    </row>
    <row r="50">
      <c r="A50" s="4" t="inlineStr">
        <is>
          <t>* C h a r t e r</t>
        </is>
      </c>
      <c r="B50" s="4" t="inlineStr">
        <is>
          <t>d a</t>
        </is>
      </c>
      <c r="C50" s="4" t="inlineStr">
        <is>
          <t>h il</t>
        </is>
      </c>
    </row>
    <row r="52">
      <c r="A52" s="4" t="inlineStr">
        <is>
          <t>K a r b o</t>
        </is>
      </c>
      <c r="B52" s="4" t="inlineStr">
        <is>
          <t>n E</t>
        </is>
      </c>
      <c r="C52" s="4" t="inlineStr">
        <is>
          <t>m i s</t>
        </is>
      </c>
      <c r="D52" s="4" t="inlineStr">
        <is>
          <t>y o n u İ</t>
        </is>
      </c>
      <c r="E52" s="4" t="inlineStr">
        <is>
          <t>s t a t</t>
        </is>
      </c>
      <c r="F52" s="4" t="inlineStr">
        <is>
          <t>i s t i k l e</t>
        </is>
      </c>
      <c r="G52" s="4" t="inlineStr">
        <is>
          <t>r i</t>
        </is>
      </c>
    </row>
    <row r="54">
      <c r="A54" s="4" t="inlineStr">
        <is>
          <t>A Y L I K</t>
        </is>
      </c>
      <c r="B54" s="4" t="inlineStr">
        <is>
          <t>H a z</t>
        </is>
      </c>
      <c r="C54" s="4" t="inlineStr">
        <is>
          <t>. ' 2 4 T e</t>
        </is>
      </c>
      <c r="D54" s="4" t="inlineStr">
        <is>
          <t>m . ' 2</t>
        </is>
      </c>
      <c r="E54" s="4" t="inlineStr">
        <is>
          <t>4 A ğ</t>
        </is>
      </c>
      <c r="F54" s="4" t="inlineStr">
        <is>
          <t>u .</t>
        </is>
      </c>
      <c r="G54" s="4" t="inlineStr">
        <is>
          <t>' 2 4</t>
        </is>
      </c>
      <c r="H54" s="4" t="inlineStr">
        <is>
          <t>E y l . '</t>
        </is>
      </c>
      <c r="I54" s="5" t="n">
        <v>24</v>
      </c>
      <c r="J54" s="4" t="inlineStr">
        <is>
          <t>E k i . '</t>
        </is>
      </c>
      <c r="K54" s="4" t="inlineStr">
        <is>
          <t>2 4 K</t>
        </is>
      </c>
      <c r="L54" s="4" t="inlineStr">
        <is>
          <t>a s</t>
        </is>
      </c>
      <c r="M54" s="4" t="inlineStr">
        <is>
          <t>. ' 2 4</t>
        </is>
      </c>
    </row>
    <row r="56">
      <c r="A56" s="4" t="inlineStr">
        <is>
          <t>C O 2 g r</t>
        </is>
      </c>
      <c r="B56" s="4" t="inlineStr">
        <is>
          <t>a m</t>
        </is>
      </c>
      <c r="C56" s="4" t="inlineStr">
        <is>
          <t>/ R P</t>
        </is>
      </c>
      <c r="D56" s="4" t="inlineStr">
        <is>
          <t>K</t>
        </is>
      </c>
      <c r="E56" s="5" t="n">
        <v>60</v>
      </c>
      <c r="F56" s="6" t="n">
        <v>0.4</v>
      </c>
      <c r="G56" s="6" t="n">
        <v>59.4</v>
      </c>
      <c r="H56" s="5" t="n">
        <v>5</v>
      </c>
      <c r="I56" s="5" t="n">
        <v>7</v>
      </c>
      <c r="J56" s="5" t="n">
        <v>1</v>
      </c>
      <c r="K56" s="5" t="n">
        <v>57</v>
      </c>
      <c r="L56" s="5" t="n">
        <v>8</v>
      </c>
      <c r="M56" s="5" t="n">
        <v>58</v>
      </c>
      <c r="N56" s="5" t="n">
        <v>4</v>
      </c>
      <c r="O56" s="5" t="n">
        <v>58</v>
      </c>
      <c r="P56" s="6" t="n">
        <v>0.3</v>
      </c>
    </row>
    <row r="58">
      <c r="A58" s="4" t="inlineStr">
        <is>
          <t>K Ü M Ü</t>
        </is>
      </c>
      <c r="B58" s="4" t="inlineStr">
        <is>
          <t>L A</t>
        </is>
      </c>
      <c r="C58" s="4" t="inlineStr">
        <is>
          <t>T İ F</t>
        </is>
      </c>
      <c r="D58" s="5" t="n">
        <v>20</v>
      </c>
      <c r="E58" s="5" t="n">
        <v>19</v>
      </c>
      <c r="F58" s="5" t="n">
        <v>2020</v>
      </c>
      <c r="G58" s="5" t="n">
        <v>2</v>
      </c>
      <c r="H58" s="5" t="n">
        <v>2</v>
      </c>
      <c r="I58" s="5" t="n">
        <v>1</v>
      </c>
      <c r="J58" s="5" t="n">
        <v>202</v>
      </c>
      <c r="K58" s="5" t="n">
        <v>2</v>
      </c>
      <c r="L58" s="5" t="n">
        <v>202</v>
      </c>
      <c r="M58" s="5" t="n">
        <v>31</v>
      </c>
      <c r="N58" s="4" t="inlineStr">
        <is>
          <t>1 A</t>
        </is>
      </c>
      <c r="O58" s="5" t="n">
        <v>24</v>
      </c>
    </row>
    <row r="60">
      <c r="A60" s="4" t="inlineStr">
        <is>
          <t>C O 2 g r</t>
        </is>
      </c>
      <c r="B60" s="4" t="inlineStr">
        <is>
          <t>a m</t>
        </is>
      </c>
      <c r="C60" s="4" t="inlineStr">
        <is>
          <t>/ R P</t>
        </is>
      </c>
      <c r="D60" s="4" t="inlineStr">
        <is>
          <t>K</t>
        </is>
      </c>
      <c r="E60" s="5" t="n">
        <v>65</v>
      </c>
      <c r="F60" s="6" t="n">
        <v>0.1</v>
      </c>
      <c r="G60" s="6" t="n">
        <v>71.3</v>
      </c>
      <c r="H60" s="5" t="n">
        <v>7</v>
      </c>
      <c r="I60" s="5" t="n">
        <v>1</v>
      </c>
      <c r="J60" s="5" t="n">
        <v>0</v>
      </c>
      <c r="K60" s="5" t="n">
        <v>62</v>
      </c>
      <c r="L60" s="5" t="n">
        <v>1</v>
      </c>
      <c r="M60" s="5" t="n">
        <v>61</v>
      </c>
      <c r="N60" s="5" t="n">
        <v>3</v>
      </c>
      <c r="O60" s="5" t="n">
        <v>58</v>
      </c>
      <c r="P60" s="6" t="n">
        <v>0.3</v>
      </c>
    </row>
    <row r="62">
      <c r="A62" s="3" t="inlineStr">
        <is>
          <t>Karbon E</t>
        </is>
      </c>
      <c r="B62" s="3" t="inlineStr">
        <is>
          <t>misy</t>
        </is>
      </c>
      <c r="C62" s="3" t="inlineStr">
        <is>
          <t>onu İ</t>
        </is>
      </c>
      <c r="D62" s="3" t="inlineStr">
        <is>
          <t>statistikl</t>
        </is>
      </c>
      <c r="E62" s="3" t="inlineStr">
        <is>
          <t>erind</t>
        </is>
      </c>
      <c r="F62" s="3" t="inlineStr">
        <is>
          <t>e (grCO</t>
        </is>
      </c>
      <c r="G62" s="3" t="inlineStr">
        <is>
          <t>2/RP</t>
        </is>
      </c>
      <c r="H62" s="3" t="inlineStr">
        <is>
          <t>K)</t>
        </is>
      </c>
      <c r="I62" s="3" t="inlineStr">
        <is>
          <t>jet yakıtı em</t>
        </is>
      </c>
      <c r="J62" s="3" t="inlineStr">
        <is>
          <t>isyon ka</t>
        </is>
      </c>
      <c r="K62" s="3" t="inlineStr">
        <is>
          <t>tsayısı baz yıl v</t>
        </is>
      </c>
      <c r="L62" s="3" t="inlineStr">
        <is>
          <t>e tüm</t>
        </is>
      </c>
      <c r="M62" s="3" t="inlineStr">
        <is>
          <t>raporlanan d</t>
        </is>
      </c>
      <c r="N62" s="3" t="inlineStr">
        <is>
          <t>öne</t>
        </is>
      </c>
      <c r="O62" s="3" t="inlineStr">
        <is>
          <t>mler için 3,16</t>
        </is>
      </c>
      <c r="P62" s="3" t="inlineStr">
        <is>
          <t>olarak</t>
        </is>
      </c>
      <c r="Q62" s="3" t="inlineStr">
        <is>
          <t>kullanılmıştır.</t>
        </is>
      </c>
      <c r="R62" s="3" t="inlineStr">
        <is>
          <t>2024</t>
        </is>
      </c>
      <c r="S62" s="3" t="inlineStr">
        <is>
          <t>Ocak ayı itibari</t>
        </is>
      </c>
      <c r="T62" s="3" t="inlineStr">
        <is>
          <t>yle</t>
        </is>
      </c>
      <c r="U62" s="3" t="inlineStr">
        <is>
          <t>3,16</t>
        </is>
      </c>
    </row>
    <row r="63">
      <c r="A63" s="4" t="inlineStr">
        <is>
          <t>emisyon f</t>
        </is>
      </c>
      <c r="B63" s="4" t="inlineStr">
        <is>
          <t>aktö</t>
        </is>
      </c>
      <c r="C63" s="4" t="inlineStr">
        <is>
          <t>rüne</t>
        </is>
      </c>
      <c r="D63" s="4" t="inlineStr">
        <is>
          <t>geçiş ge</t>
        </is>
      </c>
      <c r="E63" s="4" t="inlineStr">
        <is>
          <t>rçekl</t>
        </is>
      </c>
      <c r="F63" s="4" t="inlineStr">
        <is>
          <t>eştirilmiş</t>
        </is>
      </c>
      <c r="G63" s="4" t="inlineStr">
        <is>
          <t>ve</t>
        </is>
      </c>
      <c r="H63" s="4" t="inlineStr">
        <is>
          <t>bu</t>
        </is>
      </c>
      <c r="I63" s="4" t="inlineStr">
        <is>
          <t>değere göre</t>
        </is>
      </c>
      <c r="J63" s="4" t="inlineStr">
        <is>
          <t>geçmiş</t>
        </is>
      </c>
      <c r="K63" s="4" t="inlineStr">
        <is>
          <t>yıllara ait aylık</t>
        </is>
      </c>
      <c r="L63" s="4" t="inlineStr">
        <is>
          <t>emisyo</t>
        </is>
      </c>
      <c r="M63" s="4" t="inlineStr">
        <is>
          <t>n değerleri g</t>
        </is>
      </c>
      <c r="N63" s="4" t="inlineStr">
        <is>
          <t>ünc</t>
        </is>
      </c>
      <c r="O63" s="4" t="inlineStr">
        <is>
          <t>ellenerek payl</t>
        </is>
      </c>
      <c r="P63" s="4" t="inlineStr">
        <is>
          <t>aşılmış</t>
        </is>
      </c>
      <c r="Q63" s="4" t="inlineStr">
        <is>
          <t>tır.</t>
        </is>
      </c>
    </row>
    <row r="65">
      <c r="A65" s="4" t="inlineStr">
        <is>
          <t>Arz edile</t>
        </is>
      </c>
      <c r="B65" s="4" t="inlineStr">
        <is>
          <t>n K</t>
        </is>
      </c>
      <c r="C65" s="4" t="inlineStr">
        <is>
          <t>oltuk</t>
        </is>
      </c>
      <c r="D65" s="4" t="inlineStr">
        <is>
          <t>Kilom</t>
        </is>
      </c>
      <c r="E65" s="4" t="inlineStr">
        <is>
          <t>etre</t>
        </is>
      </c>
      <c r="F65" s="4" t="inlineStr">
        <is>
          <t>(ASK) =</t>
        </is>
      </c>
      <c r="G65" s="4" t="inlineStr">
        <is>
          <t>Uç</t>
        </is>
      </c>
      <c r="H65" s="4" t="inlineStr">
        <is>
          <t>uş</t>
        </is>
      </c>
      <c r="I65" s="4" t="inlineStr">
        <is>
          <t>a arz edile</t>
        </is>
      </c>
      <c r="J65" s="4" t="inlineStr">
        <is>
          <t>n koltuk</t>
        </is>
      </c>
      <c r="K65" s="4" t="inlineStr">
        <is>
          <t>sayısı x Orta</t>
        </is>
      </c>
      <c r="L65" s="4" t="inlineStr">
        <is>
          <t>lama</t>
        </is>
      </c>
      <c r="M65" s="4" t="inlineStr">
        <is>
          <t>Uçuş Mesa</t>
        </is>
      </c>
      <c r="N65" s="4" t="inlineStr">
        <is>
          <t>fes</t>
        </is>
      </c>
      <c r="O65" s="4" t="inlineStr">
        <is>
          <t>i</t>
        </is>
      </c>
    </row>
    <row r="67">
      <c r="A67" s="4" t="inlineStr">
        <is>
          <t>Doluluk</t>
        </is>
      </c>
      <c r="B67" s="4" t="inlineStr">
        <is>
          <t>Ora</t>
        </is>
      </c>
      <c r="C67" s="4" t="inlineStr">
        <is>
          <t>nı =</t>
        </is>
      </c>
      <c r="D67" s="4" t="inlineStr">
        <is>
          <t>Biletlen</t>
        </is>
      </c>
      <c r="E67" s="4" t="inlineStr">
        <is>
          <t>miş</t>
        </is>
      </c>
      <c r="F67" s="4" t="inlineStr">
        <is>
          <t>misafir</t>
        </is>
      </c>
      <c r="G67" s="4" t="inlineStr">
        <is>
          <t>say</t>
        </is>
      </c>
      <c r="H67" s="4" t="inlineStr">
        <is>
          <t>ısı</t>
        </is>
      </c>
      <c r="I67" s="4" t="inlineStr">
        <is>
          <t>/ Toplam</t>
        </is>
      </c>
      <c r="J67" s="4" t="inlineStr">
        <is>
          <t>koltuk s</t>
        </is>
      </c>
      <c r="K67" s="4" t="inlineStr">
        <is>
          <t>ayısı</t>
        </is>
      </c>
    </row>
    <row r="69">
      <c r="A69" s="4" t="inlineStr">
        <is>
          <t>RPK (Rev</t>
        </is>
      </c>
      <c r="B69" s="4" t="inlineStr">
        <is>
          <t>en</t>
        </is>
      </c>
      <c r="C69" s="4" t="inlineStr">
        <is>
          <t>ue Pa</t>
        </is>
      </c>
      <c r="D69" s="4" t="inlineStr">
        <is>
          <t>ssenge</t>
        </is>
      </c>
      <c r="E69" s="4" t="inlineStr">
        <is>
          <t>r Kil</t>
        </is>
      </c>
      <c r="F69" s="4" t="inlineStr">
        <is>
          <t>ometer</t>
        </is>
      </c>
      <c r="G69" s="4" t="inlineStr">
        <is>
          <t>): Ü</t>
        </is>
      </c>
      <c r="H69" s="4" t="inlineStr">
        <is>
          <t>cr</t>
        </is>
      </c>
      <c r="I69" s="4" t="inlineStr">
        <is>
          <t>etli Yolcu K</t>
        </is>
      </c>
      <c r="J69" s="4" t="inlineStr">
        <is>
          <t>ilometr</t>
        </is>
      </c>
      <c r="K69" s="4" t="inlineStr">
        <is>
          <t>e</t>
        </is>
      </c>
    </row>
    <row r="71">
      <c r="A71" s="4" t="inlineStr">
        <is>
          <t>Genel (P</t>
        </is>
      </c>
      <c r="B71" s="4" t="inlineStr">
        <is>
          <t>ublic)</t>
        </is>
      </c>
    </row>
  </sheetData>
  <mergeCells count="1">
    <mergeCell ref="A17:U1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71"/>
  <sheetViews>
    <sheetView workbookViewId="0">
      <selection activeCell="A1" sqref="A1"/>
    </sheetView>
  </sheetViews>
  <sheetFormatPr baseColWidth="8" defaultRowHeight="15"/>
  <cols>
    <col width="17" customWidth="1" min="1" max="1"/>
    <col width="17" customWidth="1" min="2" max="2"/>
    <col width="19" customWidth="1" min="3" max="3"/>
    <col width="12" customWidth="1" min="4" max="4"/>
    <col width="22" customWidth="1" min="5" max="5"/>
    <col width="25" customWidth="1" min="6" max="6"/>
    <col width="12" customWidth="1" min="7" max="7"/>
    <col width="14" customWidth="1" min="8" max="8"/>
    <col width="28" customWidth="1" min="9" max="9"/>
    <col width="12" customWidth="1" min="10" max="10"/>
    <col width="15" customWidth="1" min="11" max="11"/>
    <col width="12" customWidth="1" min="12" max="12"/>
    <col width="16" customWidth="1" min="13" max="13"/>
    <col width="12" customWidth="1" min="14" max="14"/>
    <col width="17" customWidth="1" min="15" max="15"/>
    <col width="12" customWidth="1" min="16" max="16"/>
    <col width="16" customWidth="1" min="17" max="17"/>
    <col width="12" customWidth="1" min="18" max="18"/>
    <col width="12" customWidth="1" min="19" max="19"/>
  </cols>
  <sheetData>
    <row r="1">
      <c r="A1" s="4" t="inlineStr">
        <is>
          <t>P E G A S U</t>
        </is>
      </c>
      <c r="B1" s="4" t="inlineStr">
        <is>
          <t>S</t>
        </is>
      </c>
      <c r="C1" s="4" t="inlineStr">
        <is>
          <t>H A</t>
        </is>
      </c>
      <c r="D1" s="4" t="inlineStr">
        <is>
          <t>V A T A</t>
        </is>
      </c>
      <c r="E1" s="4" t="inlineStr">
        <is>
          <t>Ş I</t>
        </is>
      </c>
      <c r="F1" s="4" t="inlineStr">
        <is>
          <t>M A C I L I Ğ I</t>
        </is>
      </c>
      <c r="G1" s="4" t="inlineStr">
        <is>
          <t>A . Ş .</t>
        </is>
      </c>
    </row>
    <row r="3">
      <c r="A3" s="4" t="inlineStr">
        <is>
          <t>A R A L I K</t>
        </is>
      </c>
      <c r="B3" s="5" t="n">
        <v>20</v>
      </c>
      <c r="C3" s="5" t="n">
        <v>24</v>
      </c>
      <c r="D3" s="4" t="inlineStr">
        <is>
          <t>T R A F</t>
        </is>
      </c>
      <c r="E3" s="4" t="inlineStr">
        <is>
          <t>İ K</t>
        </is>
      </c>
      <c r="F3" s="4" t="inlineStr">
        <is>
          <t>S O N U Ç L A R</t>
        </is>
      </c>
      <c r="G3" s="4" t="inlineStr">
        <is>
          <t>I</t>
        </is>
      </c>
    </row>
    <row r="5">
      <c r="A5" s="4" t="inlineStr">
        <is>
          <t>A Y L I K</t>
        </is>
      </c>
      <c r="B5" s="4" t="inlineStr">
        <is>
          <t>K Ü</t>
        </is>
      </c>
      <c r="C5" s="4" t="inlineStr">
        <is>
          <t>M Ü</t>
        </is>
      </c>
      <c r="D5" s="4" t="inlineStr">
        <is>
          <t>L A T İ F</t>
        </is>
      </c>
    </row>
    <row r="7">
      <c r="A7" s="4" t="inlineStr">
        <is>
          <t>A r a l ı k</t>
        </is>
      </c>
      <c r="B7" s="4" t="inlineStr">
        <is>
          <t>A r a l ı k</t>
        </is>
      </c>
      <c r="C7" s="4" t="inlineStr">
        <is>
          <t>' 2</t>
        </is>
      </c>
      <c r="D7" s="4" t="inlineStr">
        <is>
          <t>4 /</t>
        </is>
      </c>
      <c r="E7" s="4" t="inlineStr">
        <is>
          <t>' 2 3</t>
        </is>
      </c>
      <c r="F7" s="4" t="inlineStr">
        <is>
          <t>O c a . -</t>
        </is>
      </c>
      <c r="G7" s="4" t="inlineStr">
        <is>
          <t>A r a . O</t>
        </is>
      </c>
      <c r="H7" s="4" t="inlineStr">
        <is>
          <t>c a . -</t>
        </is>
      </c>
      <c r="I7" s="4" t="inlineStr">
        <is>
          <t>A r a .</t>
        </is>
      </c>
      <c r="J7" s="4" t="inlineStr">
        <is>
          <t>' 2</t>
        </is>
      </c>
      <c r="K7" s="4" t="inlineStr">
        <is>
          <t>4 / '</t>
        </is>
      </c>
    </row>
    <row r="9">
      <c r="A9" s="4" t="inlineStr">
        <is>
          <t>2 0 2 4</t>
        </is>
      </c>
      <c r="B9" s="5" t="n">
        <v>2023</v>
      </c>
      <c r="C9" s="4" t="inlineStr">
        <is>
          <t>%</t>
        </is>
      </c>
      <c r="D9" s="4" t="inlineStr">
        <is>
          <t>D</t>
        </is>
      </c>
      <c r="E9" s="4" t="inlineStr">
        <is>
          <t>e ğ .</t>
        </is>
      </c>
      <c r="F9" s="5" t="n">
        <v>202</v>
      </c>
      <c r="G9" s="5" t="n">
        <v>4</v>
      </c>
      <c r="H9" s="5" t="n">
        <v>202</v>
      </c>
      <c r="I9" s="4" t="inlineStr">
        <is>
          <t>3 Y ı l</t>
        </is>
      </c>
      <c r="J9" s="4" t="inlineStr">
        <is>
          <t>l ı k</t>
        </is>
      </c>
      <c r="K9" s="4" t="inlineStr">
        <is>
          <t>%</t>
        </is>
      </c>
    </row>
    <row r="11">
      <c r="A11" s="4" t="inlineStr">
        <is>
          <t>M i s</t>
        </is>
      </c>
      <c r="B11" s="4" t="inlineStr">
        <is>
          <t>a f i r</t>
        </is>
      </c>
      <c r="C11" s="4" t="inlineStr">
        <is>
          <t>s a y ı s ı , m</t>
        </is>
      </c>
      <c r="D11" s="4" t="inlineStr">
        <is>
          <t>n</t>
        </is>
      </c>
      <c r="E11" s="6" t="n">
        <v>3.1</v>
      </c>
      <c r="F11" s="6" t="n">
        <v>2.58</v>
      </c>
      <c r="G11" s="5" t="n">
        <v>2</v>
      </c>
      <c r="H11" s="5" t="n">
        <v>0</v>
      </c>
      <c r="I11" s="4" t="inlineStr">
        <is>
          <t>%</t>
        </is>
      </c>
      <c r="J11" s="5" t="n">
        <v>37</v>
      </c>
      <c r="K11" s="5" t="n">
        <v>48</v>
      </c>
      <c r="L11" s="6" t="n">
        <v>31.9</v>
      </c>
      <c r="M11" s="5" t="n">
        <v>3</v>
      </c>
      <c r="N11" s="5" t="n">
        <v>1</v>
      </c>
      <c r="O11" s="7" t="n">
        <v>0.07000000000000001</v>
      </c>
    </row>
    <row r="13">
      <c r="A13" s="4" t="inlineStr">
        <is>
          <t>K o n</t>
        </is>
      </c>
      <c r="B13" s="4" t="inlineStr">
        <is>
          <t>m a</t>
        </is>
      </c>
      <c r="C13" s="6" t="n">
        <v>17.3671</v>
      </c>
      <c r="D13" s="6" t="n">
        <v>5.16</v>
      </c>
      <c r="E13" s="5" t="n">
        <v>11</v>
      </c>
      <c r="F13" s="5" t="n">
        <v>5</v>
      </c>
      <c r="G13" s="4" t="inlineStr">
        <is>
          <t>%</t>
        </is>
      </c>
      <c r="H13" s="5" t="n">
        <v>206</v>
      </c>
      <c r="I13" s="5" t="n">
        <v>481</v>
      </c>
      <c r="J13" s="5" t="n">
        <v>87</v>
      </c>
      <c r="K13" s="5" t="n">
        <v>71</v>
      </c>
      <c r="L13" s="5" t="n">
        <v>1</v>
      </c>
      <c r="M13" s="7" t="n">
        <v>0</v>
      </c>
    </row>
    <row r="15">
      <c r="A15" s="4" t="inlineStr">
        <is>
          <t>K o lt</t>
        </is>
      </c>
      <c r="B15" s="4" t="inlineStr">
        <is>
          <t>u k</t>
        </is>
      </c>
      <c r="C15" s="4" t="inlineStr">
        <is>
          <t>s a y ı s ı , m n</t>
        </is>
      </c>
      <c r="D15" s="6" t="n">
        <v>3.64</v>
      </c>
      <c r="E15" s="6" t="n">
        <v>3.1</v>
      </c>
      <c r="F15" s="5" t="n">
        <v>1</v>
      </c>
      <c r="G15" s="5" t="n">
        <v>7</v>
      </c>
      <c r="H15" s="4" t="inlineStr">
        <is>
          <t>%</t>
        </is>
      </c>
      <c r="I15" s="5" t="n">
        <v>42</v>
      </c>
      <c r="J15" s="5" t="n">
        <v>75</v>
      </c>
      <c r="K15" s="6" t="n">
        <v>37.6</v>
      </c>
      <c r="L15" s="5" t="n">
        <v>6</v>
      </c>
      <c r="M15" s="5" t="n">
        <v>1</v>
      </c>
      <c r="N15" s="7" t="n">
        <v>0.04</v>
      </c>
    </row>
    <row r="17">
      <c r="A17" s="2" t="inlineStr">
        <is>
          <t>T o p l a m</t>
        </is>
      </c>
    </row>
    <row r="18">
      <c r="A18" s="4" t="inlineStr">
        <is>
          <t>D o l</t>
        </is>
      </c>
      <c r="B18" s="4" t="inlineStr">
        <is>
          <t>u l u</t>
        </is>
      </c>
      <c r="C18" s="4" t="inlineStr">
        <is>
          <t>k O r a n ı</t>
        </is>
      </c>
      <c r="D18" s="7" t="n">
        <v>0.8528</v>
      </c>
      <c r="E18" s="7" t="n">
        <v>0.033</v>
      </c>
      <c r="F18" s="5" t="n">
        <v>1</v>
      </c>
      <c r="G18" s="6" t="n">
        <v>0.9</v>
      </c>
      <c r="H18" s="4" t="inlineStr">
        <is>
          <t>p</t>
        </is>
      </c>
      <c r="I18" s="6" t="n">
        <v>87.7</v>
      </c>
      <c r="J18" s="4" t="inlineStr">
        <is>
          <t>%</t>
        </is>
      </c>
      <c r="K18" s="6" t="n">
        <v>84.8</v>
      </c>
      <c r="L18" s="4" t="inlineStr">
        <is>
          <t>%</t>
        </is>
      </c>
      <c r="M18" s="5" t="n">
        <v>2</v>
      </c>
      <c r="N18" s="8" t="n">
        <v>0.9</v>
      </c>
    </row>
    <row r="20">
      <c r="A20" s="4" t="inlineStr">
        <is>
          <t>A S</t>
        </is>
      </c>
      <c r="B20" s="4" t="inlineStr">
        <is>
          <t>K (</t>
        </is>
      </c>
      <c r="C20" s="4" t="inlineStr">
        <is>
          <t>m ln k m )</t>
        </is>
      </c>
      <c r="D20" s="5" t="n">
        <v>5521</v>
      </c>
      <c r="E20" s="5" t="n">
        <v>4703</v>
      </c>
      <c r="F20" s="5" t="n">
        <v>1</v>
      </c>
      <c r="G20" s="5" t="n">
        <v>7</v>
      </c>
      <c r="H20" s="4" t="inlineStr">
        <is>
          <t>%</t>
        </is>
      </c>
      <c r="I20" s="6" t="n">
        <v>66.8</v>
      </c>
      <c r="J20" s="5" t="n">
        <v>8</v>
      </c>
      <c r="K20" s="6" t="n">
        <v>58.2</v>
      </c>
      <c r="L20" s="5" t="n">
        <v>17</v>
      </c>
      <c r="M20" s="5" t="n">
        <v>1</v>
      </c>
      <c r="N20" s="7" t="n">
        <v>0.05</v>
      </c>
    </row>
    <row r="22">
      <c r="A22" s="4" t="inlineStr">
        <is>
          <t>K o n</t>
        </is>
      </c>
      <c r="B22" s="4" t="inlineStr">
        <is>
          <t>m a</t>
        </is>
      </c>
      <c r="C22" s="4" t="inlineStr">
        <is>
          <t>b a ş ı n a M</t>
        </is>
      </c>
      <c r="D22" s="4" t="inlineStr">
        <is>
          <t>i s a f</t>
        </is>
      </c>
      <c r="E22" s="4" t="inlineStr">
        <is>
          <t>i r</t>
        </is>
      </c>
      <c r="F22" s="5" t="n">
        <v>179</v>
      </c>
      <c r="G22" s="5" t="n">
        <v>170</v>
      </c>
      <c r="H22" s="7" t="n">
        <v>0.05</v>
      </c>
      <c r="I22" s="5" t="n">
        <v>18</v>
      </c>
      <c r="J22" s="5" t="n">
        <v>2</v>
      </c>
      <c r="K22" s="5" t="n">
        <v>17</v>
      </c>
      <c r="L22" s="5" t="n">
        <v>1</v>
      </c>
      <c r="M22" s="7" t="n">
        <v>0.07000000000000001</v>
      </c>
    </row>
    <row r="24">
      <c r="A24" s="4" t="inlineStr">
        <is>
          <t>M i s</t>
        </is>
      </c>
      <c r="B24" s="4" t="inlineStr">
        <is>
          <t>a f i r</t>
        </is>
      </c>
      <c r="C24" s="4" t="inlineStr">
        <is>
          <t>s a y ı s ı , m</t>
        </is>
      </c>
      <c r="D24" s="4" t="inlineStr">
        <is>
          <t>n</t>
        </is>
      </c>
      <c r="E24" s="6" t="n">
        <v>1.19</v>
      </c>
      <c r="F24" s="6" t="n">
        <v>1.02</v>
      </c>
      <c r="G24" s="5" t="n">
        <v>1</v>
      </c>
      <c r="H24" s="5" t="n">
        <v>7</v>
      </c>
      <c r="I24" s="4" t="inlineStr">
        <is>
          <t>%</t>
        </is>
      </c>
      <c r="J24" s="5" t="n">
        <v>14</v>
      </c>
      <c r="K24" s="5" t="n">
        <v>6</v>
      </c>
      <c r="L24" s="6" t="n">
        <v>11.9</v>
      </c>
      <c r="M24" s="5" t="n">
        <v>8</v>
      </c>
      <c r="N24" s="5" t="n">
        <v>1</v>
      </c>
      <c r="O24" s="7" t="n">
        <v>0.07000000000000001</v>
      </c>
    </row>
    <row r="26">
      <c r="A26" s="4" t="inlineStr">
        <is>
          <t>K o n</t>
        </is>
      </c>
      <c r="B26" s="4" t="inlineStr">
        <is>
          <t>m a</t>
        </is>
      </c>
      <c r="C26" s="5" t="n">
        <v>6465</v>
      </c>
      <c r="D26" s="5" t="n">
        <v>6087</v>
      </c>
      <c r="E26" s="7" t="n">
        <v>0.06</v>
      </c>
      <c r="F26" s="6" t="n">
        <v>74.2</v>
      </c>
      <c r="G26" s="5" t="n">
        <v>75</v>
      </c>
      <c r="H26" s="6" t="n">
        <v>68.7</v>
      </c>
      <c r="I26" s="5" t="n">
        <v>48</v>
      </c>
      <c r="J26" s="7" t="n">
        <v>0.08</v>
      </c>
    </row>
    <row r="28">
      <c r="A28" s="4" t="inlineStr">
        <is>
          <t>K o lt</t>
        </is>
      </c>
      <c r="B28" s="4" t="inlineStr">
        <is>
          <t>u k</t>
        </is>
      </c>
      <c r="C28" s="4" t="inlineStr">
        <is>
          <t>s a y ı s ı , m n</t>
        </is>
      </c>
      <c r="D28" s="6" t="n">
        <v>1.34</v>
      </c>
      <c r="E28" s="6" t="n">
        <v>1.21</v>
      </c>
      <c r="F28" s="5" t="n">
        <v>1</v>
      </c>
      <c r="G28" s="5" t="n">
        <v>1</v>
      </c>
      <c r="H28" s="4" t="inlineStr">
        <is>
          <t>%</t>
        </is>
      </c>
      <c r="I28" s="5" t="n">
        <v>15</v>
      </c>
      <c r="J28" s="5" t="n">
        <v>38</v>
      </c>
      <c r="K28" s="6" t="n">
        <v>13.6</v>
      </c>
      <c r="L28" s="5" t="n">
        <v>6</v>
      </c>
      <c r="M28" s="5" t="n">
        <v>1</v>
      </c>
      <c r="N28" s="7" t="n">
        <v>0.03</v>
      </c>
    </row>
    <row r="30">
      <c r="A30" s="4" t="inlineStr">
        <is>
          <t>İ ç H a t l a</t>
        </is>
      </c>
      <c r="B30" s="4" t="inlineStr">
        <is>
          <t>r</t>
        </is>
      </c>
    </row>
    <row r="31">
      <c r="A31" s="4" t="inlineStr">
        <is>
          <t>D o l</t>
        </is>
      </c>
      <c r="B31" s="4" t="inlineStr">
        <is>
          <t>u l u</t>
        </is>
      </c>
      <c r="C31" s="4" t="inlineStr">
        <is>
          <t>k O r a n ı</t>
        </is>
      </c>
      <c r="D31" s="7" t="n">
        <v>0.8868</v>
      </c>
      <c r="E31" s="7" t="n">
        <v>0.044</v>
      </c>
      <c r="F31" s="5" t="n">
        <v>4</v>
      </c>
      <c r="G31" s="6" t="n">
        <v>0.2</v>
      </c>
      <c r="H31" s="4" t="inlineStr">
        <is>
          <t>p</t>
        </is>
      </c>
      <c r="I31" s="6" t="n">
        <v>91.40000000000001</v>
      </c>
      <c r="J31" s="4" t="inlineStr">
        <is>
          <t>%</t>
        </is>
      </c>
      <c r="K31" s="6" t="n">
        <v>87.7</v>
      </c>
      <c r="L31" s="4" t="inlineStr">
        <is>
          <t>%</t>
        </is>
      </c>
      <c r="M31" s="5" t="n">
        <v>3</v>
      </c>
      <c r="N31" s="8" t="n">
        <v>0.7</v>
      </c>
    </row>
    <row r="33">
      <c r="A33" s="4" t="inlineStr">
        <is>
          <t>A S</t>
        </is>
      </c>
      <c r="B33" s="4" t="inlineStr">
        <is>
          <t>K (</t>
        </is>
      </c>
      <c r="C33" s="4" t="inlineStr">
        <is>
          <t>m ln k m )</t>
        </is>
      </c>
      <c r="D33" s="5" t="n">
        <v>1014</v>
      </c>
      <c r="E33" s="5" t="n">
        <v>908</v>
      </c>
      <c r="F33" s="5" t="n">
        <v>1</v>
      </c>
      <c r="G33" s="5" t="n">
        <v>2</v>
      </c>
      <c r="H33" s="4" t="inlineStr">
        <is>
          <t>%</t>
        </is>
      </c>
      <c r="I33" s="6" t="n">
        <v>11.4</v>
      </c>
      <c r="J33" s="5" t="n">
        <v>0</v>
      </c>
      <c r="K33" s="5" t="n">
        <v>10</v>
      </c>
      <c r="L33" s="5" t="n">
        <v>52</v>
      </c>
      <c r="M33" s="5" t="n">
        <v>1</v>
      </c>
      <c r="N33" s="7" t="n">
        <v>0.03</v>
      </c>
    </row>
    <row r="35">
      <c r="A35" s="4" t="inlineStr">
        <is>
          <t>K o n</t>
        </is>
      </c>
      <c r="B35" s="4" t="inlineStr">
        <is>
          <t>m a</t>
        </is>
      </c>
      <c r="C35" s="4" t="inlineStr">
        <is>
          <t>b a ş ı n a M</t>
        </is>
      </c>
      <c r="D35" s="4" t="inlineStr">
        <is>
          <t>i s a f</t>
        </is>
      </c>
      <c r="E35" s="4" t="inlineStr">
        <is>
          <t>i r</t>
        </is>
      </c>
      <c r="F35" s="5" t="n">
        <v>184</v>
      </c>
      <c r="G35" s="5" t="n">
        <v>167</v>
      </c>
      <c r="H35" s="5" t="n">
        <v>1</v>
      </c>
      <c r="I35" s="5" t="n">
        <v>0</v>
      </c>
      <c r="J35" s="4" t="inlineStr">
        <is>
          <t>%</t>
        </is>
      </c>
      <c r="K35" s="5" t="n">
        <v>18</v>
      </c>
      <c r="L35" s="5" t="n">
        <v>9</v>
      </c>
      <c r="M35" s="5" t="n">
        <v>17</v>
      </c>
      <c r="N35" s="5" t="n">
        <v>4</v>
      </c>
      <c r="O35" s="7" t="n">
        <v>0.09</v>
      </c>
    </row>
    <row r="37">
      <c r="A37" s="4" t="inlineStr">
        <is>
          <t>M i s</t>
        </is>
      </c>
      <c r="B37" s="4" t="inlineStr">
        <is>
          <t>a f i r</t>
        </is>
      </c>
      <c r="C37" s="4" t="inlineStr">
        <is>
          <t>s a y ı s ı , m</t>
        </is>
      </c>
      <c r="D37" s="4" t="inlineStr">
        <is>
          <t>n</t>
        </is>
      </c>
      <c r="E37" s="6" t="n">
        <v>1.91</v>
      </c>
      <c r="F37" s="6" t="n">
        <v>1.56</v>
      </c>
      <c r="G37" s="5" t="n">
        <v>2</v>
      </c>
      <c r="H37" s="5" t="n">
        <v>2</v>
      </c>
      <c r="I37" s="4" t="inlineStr">
        <is>
          <t>%</t>
        </is>
      </c>
      <c r="J37" s="5" t="n">
        <v>23</v>
      </c>
      <c r="K37" s="5" t="n">
        <v>42</v>
      </c>
      <c r="L37" s="6" t="n">
        <v>19.9</v>
      </c>
      <c r="M37" s="5" t="n">
        <v>5</v>
      </c>
      <c r="N37" s="5" t="n">
        <v>1</v>
      </c>
      <c r="O37" s="7" t="n">
        <v>0.07000000000000001</v>
      </c>
    </row>
    <row r="39">
      <c r="A39" s="4" t="inlineStr">
        <is>
          <t>K o n</t>
        </is>
      </c>
      <c r="B39" s="4" t="inlineStr">
        <is>
          <t>m a</t>
        </is>
      </c>
      <c r="C39" s="5" t="n">
        <v>10902</v>
      </c>
      <c r="D39" s="5" t="n">
        <v>9074</v>
      </c>
      <c r="E39" s="5" t="n">
        <v>2</v>
      </c>
      <c r="F39" s="5" t="n">
        <v>0</v>
      </c>
      <c r="G39" s="4" t="inlineStr">
        <is>
          <t>%</t>
        </is>
      </c>
      <c r="H39" s="6" t="n">
        <v>131.7</v>
      </c>
      <c r="I39" s="5" t="n">
        <v>731</v>
      </c>
      <c r="J39" s="6" t="n">
        <v>18.3</v>
      </c>
      <c r="K39" s="5" t="n">
        <v>23</v>
      </c>
      <c r="L39" s="5" t="n">
        <v>1</v>
      </c>
      <c r="M39" s="7" t="n">
        <v>0.01</v>
      </c>
    </row>
    <row r="41">
      <c r="A41" s="4" t="inlineStr">
        <is>
          <t>K o lt</t>
        </is>
      </c>
      <c r="B41" s="4" t="inlineStr">
        <is>
          <t>u k</t>
        </is>
      </c>
      <c r="C41" s="4" t="inlineStr">
        <is>
          <t>s a y ı s ı , m n</t>
        </is>
      </c>
      <c r="D41" s="6" t="n">
        <v>2.3</v>
      </c>
      <c r="E41" s="6" t="n">
        <v>1.89</v>
      </c>
      <c r="F41" s="5" t="n">
        <v>2</v>
      </c>
      <c r="G41" s="5" t="n">
        <v>1</v>
      </c>
      <c r="H41" s="4" t="inlineStr">
        <is>
          <t>%</t>
        </is>
      </c>
      <c r="I41" s="5" t="n">
        <v>27</v>
      </c>
      <c r="J41" s="5" t="n">
        <v>37</v>
      </c>
      <c r="K41" s="5" t="n">
        <v>24</v>
      </c>
      <c r="L41" s="5" t="n">
        <v>1</v>
      </c>
      <c r="M41" s="5" t="n">
        <v>1</v>
      </c>
      <c r="N41" s="7" t="n">
        <v>0.04</v>
      </c>
    </row>
    <row r="43">
      <c r="A43" s="4" t="inlineStr">
        <is>
          <t>D ı ş H a t</t>
        </is>
      </c>
      <c r="B43" s="4" t="inlineStr">
        <is>
          <t>l a r</t>
        </is>
      </c>
      <c r="C43" s="4" t="inlineStr">
        <is>
          <t>*</t>
        </is>
      </c>
    </row>
    <row r="44">
      <c r="A44" s="4" t="inlineStr">
        <is>
          <t>D o l</t>
        </is>
      </c>
      <c r="B44" s="4" t="inlineStr">
        <is>
          <t>u l u</t>
        </is>
      </c>
      <c r="C44" s="4" t="inlineStr">
        <is>
          <t>k O r a n ı</t>
        </is>
      </c>
      <c r="D44" s="7" t="n">
        <v>0.8328</v>
      </c>
      <c r="E44" s="7" t="n">
        <v>0.027</v>
      </c>
      <c r="F44" s="5" t="n">
        <v>0</v>
      </c>
      <c r="G44" s="6" t="n">
        <v>0.5</v>
      </c>
      <c r="H44" s="4" t="inlineStr">
        <is>
          <t>p</t>
        </is>
      </c>
      <c r="I44" s="6" t="n">
        <v>85.59999999999999</v>
      </c>
      <c r="J44" s="4" t="inlineStr">
        <is>
          <t>%</t>
        </is>
      </c>
      <c r="K44" s="6" t="n">
        <v>83.09999999999999</v>
      </c>
      <c r="L44" s="4" t="inlineStr">
        <is>
          <t>%</t>
        </is>
      </c>
      <c r="M44" s="5" t="n">
        <v>2</v>
      </c>
      <c r="N44" s="8" t="n">
        <v>0.5</v>
      </c>
    </row>
    <row r="46">
      <c r="A46" s="4" t="inlineStr">
        <is>
          <t>A S</t>
        </is>
      </c>
      <c r="B46" s="4" t="inlineStr">
        <is>
          <t>K (</t>
        </is>
      </c>
      <c r="C46" s="4" t="inlineStr">
        <is>
          <t>m ln k m )</t>
        </is>
      </c>
      <c r="D46" s="5" t="n">
        <v>4507</v>
      </c>
      <c r="E46" s="5" t="n">
        <v>3796</v>
      </c>
      <c r="F46" s="5" t="n">
        <v>1</v>
      </c>
      <c r="G46" s="5" t="n">
        <v>9</v>
      </c>
      <c r="H46" s="4" t="inlineStr">
        <is>
          <t>%</t>
        </is>
      </c>
      <c r="I46" s="6" t="n">
        <v>55.4</v>
      </c>
      <c r="J46" s="5" t="n">
        <v>9</v>
      </c>
      <c r="K46" s="6" t="n">
        <v>48.1</v>
      </c>
      <c r="L46" s="5" t="n">
        <v>65</v>
      </c>
      <c r="M46" s="5" t="n">
        <v>1</v>
      </c>
      <c r="N46" s="7" t="n">
        <v>0.05</v>
      </c>
    </row>
    <row r="48">
      <c r="A48" s="4" t="inlineStr">
        <is>
          <t>K o n</t>
        </is>
      </c>
      <c r="B48" s="4" t="inlineStr">
        <is>
          <t>m a</t>
        </is>
      </c>
      <c r="C48" s="4" t="inlineStr">
        <is>
          <t>b a ş ı n a M</t>
        </is>
      </c>
      <c r="D48" s="4" t="inlineStr">
        <is>
          <t>i s a f</t>
        </is>
      </c>
      <c r="E48" s="4" t="inlineStr">
        <is>
          <t>i r</t>
        </is>
      </c>
      <c r="F48" s="5" t="n">
        <v>175</v>
      </c>
      <c r="G48" s="5" t="n">
        <v>172</v>
      </c>
      <c r="H48" s="7" t="n">
        <v>0.02</v>
      </c>
      <c r="I48" s="5" t="n">
        <v>17</v>
      </c>
      <c r="J48" s="5" t="n">
        <v>8</v>
      </c>
      <c r="K48" s="5" t="n">
        <v>16</v>
      </c>
      <c r="L48" s="5" t="n">
        <v>9</v>
      </c>
      <c r="M48" s="7" t="n">
        <v>0.05</v>
      </c>
    </row>
    <row r="50">
      <c r="A50" s="4" t="inlineStr">
        <is>
          <t>* C h a r t e r</t>
        </is>
      </c>
      <c r="B50" s="4" t="inlineStr">
        <is>
          <t>d a</t>
        </is>
      </c>
      <c r="C50" s="4" t="inlineStr">
        <is>
          <t>h il</t>
        </is>
      </c>
    </row>
    <row r="52">
      <c r="A52" s="4" t="inlineStr">
        <is>
          <t>K a r b o n</t>
        </is>
      </c>
      <c r="B52" s="4" t="inlineStr">
        <is>
          <t>E</t>
        </is>
      </c>
      <c r="C52" s="4" t="inlineStr">
        <is>
          <t>m i s</t>
        </is>
      </c>
      <c r="D52" s="4" t="inlineStr">
        <is>
          <t>y o n u</t>
        </is>
      </c>
      <c r="E52" s="4" t="inlineStr">
        <is>
          <t>İ s</t>
        </is>
      </c>
      <c r="F52" s="4" t="inlineStr">
        <is>
          <t>t a t i s t i k l e r i</t>
        </is>
      </c>
    </row>
    <row r="54">
      <c r="A54" s="4" t="inlineStr">
        <is>
          <t>A Y L I K</t>
        </is>
      </c>
      <c r="B54" s="4" t="inlineStr">
        <is>
          <t>T e m . ' 2 4 A</t>
        </is>
      </c>
      <c r="C54" s="4" t="inlineStr">
        <is>
          <t>ğ u . ' 2</t>
        </is>
      </c>
      <c r="D54" s="4" t="inlineStr">
        <is>
          <t>4 E y</t>
        </is>
      </c>
      <c r="E54" s="4" t="inlineStr">
        <is>
          <t>l . '</t>
        </is>
      </c>
      <c r="F54" s="5" t="n">
        <v>24</v>
      </c>
      <c r="G54" s="4" t="inlineStr">
        <is>
          <t>E k i . '</t>
        </is>
      </c>
      <c r="H54" s="5" t="n">
        <v>24</v>
      </c>
      <c r="I54" s="4" t="inlineStr">
        <is>
          <t>K a s . '</t>
        </is>
      </c>
      <c r="J54" s="5" t="n">
        <v>24</v>
      </c>
      <c r="K54" s="4" t="inlineStr">
        <is>
          <t>A r</t>
        </is>
      </c>
      <c r="L54" s="4" t="inlineStr">
        <is>
          <t>a . '</t>
        </is>
      </c>
    </row>
    <row r="56">
      <c r="A56" s="4" t="inlineStr">
        <is>
          <t>C O 2 g r</t>
        </is>
      </c>
      <c r="B56" s="4" t="inlineStr">
        <is>
          <t>a m</t>
        </is>
      </c>
      <c r="C56" s="4" t="inlineStr">
        <is>
          <t>/ R P</t>
        </is>
      </c>
      <c r="D56" s="4" t="inlineStr">
        <is>
          <t>K</t>
        </is>
      </c>
      <c r="E56" s="6" t="n">
        <v>59.4</v>
      </c>
      <c r="F56" s="6" t="n">
        <v>57.1</v>
      </c>
      <c r="G56" s="5" t="n">
        <v>5</v>
      </c>
      <c r="H56" s="5" t="n">
        <v>7</v>
      </c>
      <c r="I56" s="5" t="n">
        <v>8</v>
      </c>
      <c r="J56" s="5" t="n">
        <v>58</v>
      </c>
      <c r="K56" s="5" t="n">
        <v>4</v>
      </c>
      <c r="L56" s="5" t="n">
        <v>58</v>
      </c>
      <c r="M56" s="5" t="n">
        <v>3</v>
      </c>
      <c r="N56" s="5" t="n">
        <v>5</v>
      </c>
      <c r="O56" s="5" t="n">
        <v>8</v>
      </c>
    </row>
    <row r="58">
      <c r="A58" s="4" t="inlineStr">
        <is>
          <t>K Ü M Ü L</t>
        </is>
      </c>
      <c r="B58" s="4" t="inlineStr">
        <is>
          <t>A</t>
        </is>
      </c>
      <c r="C58" s="4" t="inlineStr">
        <is>
          <t>T İ F</t>
        </is>
      </c>
      <c r="D58" s="5" t="n">
        <v>2019</v>
      </c>
      <c r="E58" s="5" t="n">
        <v>2020</v>
      </c>
      <c r="F58" s="5" t="n">
        <v>2</v>
      </c>
      <c r="G58" s="5" t="n">
        <v>2</v>
      </c>
      <c r="H58" s="5" t="n">
        <v>1</v>
      </c>
      <c r="I58" s="5" t="n">
        <v>202</v>
      </c>
      <c r="J58" s="5" t="n">
        <v>2</v>
      </c>
      <c r="K58" s="5" t="n">
        <v>202</v>
      </c>
      <c r="L58" s="5" t="n">
        <v>3</v>
      </c>
      <c r="M58" s="5" t="n">
        <v>2</v>
      </c>
      <c r="N58" s="5" t="n">
        <v>2</v>
      </c>
    </row>
    <row r="60">
      <c r="A60" s="4" t="inlineStr">
        <is>
          <t>C O 2 g r</t>
        </is>
      </c>
      <c r="B60" s="4" t="inlineStr">
        <is>
          <t>a m</t>
        </is>
      </c>
      <c r="C60" s="4" t="inlineStr">
        <is>
          <t>/ R P</t>
        </is>
      </c>
      <c r="D60" s="4" t="inlineStr">
        <is>
          <t>K</t>
        </is>
      </c>
      <c r="E60" s="6" t="n">
        <v>65.09999999999999</v>
      </c>
      <c r="F60" s="6" t="n">
        <v>71.3</v>
      </c>
      <c r="G60" s="5" t="n">
        <v>7</v>
      </c>
      <c r="H60" s="5" t="n">
        <v>1</v>
      </c>
      <c r="I60" s="5" t="n">
        <v>0</v>
      </c>
      <c r="J60" s="5" t="n">
        <v>62</v>
      </c>
      <c r="K60" s="5" t="n">
        <v>1</v>
      </c>
      <c r="L60" s="5" t="n">
        <v>61</v>
      </c>
      <c r="M60" s="5" t="n">
        <v>3</v>
      </c>
      <c r="N60" s="5" t="n">
        <v>5</v>
      </c>
      <c r="O60" s="5" t="n">
        <v>8</v>
      </c>
    </row>
    <row r="62">
      <c r="A62" s="3" t="inlineStr">
        <is>
          <t>Karbon Em</t>
        </is>
      </c>
      <c r="B62" s="3" t="inlineStr">
        <is>
          <t>isy</t>
        </is>
      </c>
      <c r="C62" s="3" t="inlineStr">
        <is>
          <t>onu İ</t>
        </is>
      </c>
      <c r="D62" s="3" t="inlineStr">
        <is>
          <t>statisti</t>
        </is>
      </c>
      <c r="E62" s="3" t="inlineStr">
        <is>
          <t>kleri</t>
        </is>
      </c>
      <c r="F62" s="3" t="inlineStr">
        <is>
          <t>nde (grCO2/R</t>
        </is>
      </c>
      <c r="G62" s="3" t="inlineStr">
        <is>
          <t>PK)</t>
        </is>
      </c>
      <c r="H62" s="3" t="inlineStr">
        <is>
          <t>jet yakıtı e</t>
        </is>
      </c>
      <c r="I62" s="3" t="inlineStr">
        <is>
          <t>misyon katsayısı baz yıl v</t>
        </is>
      </c>
      <c r="J62" s="3" t="inlineStr">
        <is>
          <t>e tüm</t>
        </is>
      </c>
      <c r="K62" s="3" t="inlineStr">
        <is>
          <t>raporlanan d</t>
        </is>
      </c>
      <c r="L62" s="3" t="inlineStr">
        <is>
          <t>öne</t>
        </is>
      </c>
      <c r="M62" s="3" t="inlineStr">
        <is>
          <t>mler için 3,16</t>
        </is>
      </c>
      <c r="N62" s="3" t="inlineStr">
        <is>
          <t>olarak</t>
        </is>
      </c>
      <c r="O62" s="3" t="inlineStr">
        <is>
          <t>kullanılmıştır.</t>
        </is>
      </c>
      <c r="P62" s="3" t="inlineStr">
        <is>
          <t>2024</t>
        </is>
      </c>
      <c r="Q62" s="3" t="inlineStr">
        <is>
          <t>Ocak ayı itiba</t>
        </is>
      </c>
      <c r="R62" s="3" t="inlineStr">
        <is>
          <t>riyl</t>
        </is>
      </c>
      <c r="S62" s="3" t="inlineStr">
        <is>
          <t>e 3,</t>
        </is>
      </c>
    </row>
    <row r="63">
      <c r="A63" s="4" t="inlineStr">
        <is>
          <t>emisyon fa</t>
        </is>
      </c>
      <c r="B63" s="4" t="inlineStr">
        <is>
          <t>ktö</t>
        </is>
      </c>
      <c r="C63" s="4" t="inlineStr">
        <is>
          <t>rüne</t>
        </is>
      </c>
      <c r="D63" s="4" t="inlineStr">
        <is>
          <t>geçiş</t>
        </is>
      </c>
      <c r="E63" s="4" t="inlineStr">
        <is>
          <t>gerç</t>
        </is>
      </c>
      <c r="F63" s="4" t="inlineStr">
        <is>
          <t>ekleştirilmiş v</t>
        </is>
      </c>
      <c r="G63" s="4" t="inlineStr">
        <is>
          <t>e bu</t>
        </is>
      </c>
      <c r="H63" s="4" t="inlineStr">
        <is>
          <t>değere gör</t>
        </is>
      </c>
      <c r="I63" s="4" t="inlineStr">
        <is>
          <t>e geçmiş yıllara ait aylık</t>
        </is>
      </c>
      <c r="J63" s="4" t="inlineStr">
        <is>
          <t>emisyo</t>
        </is>
      </c>
      <c r="K63" s="4" t="inlineStr">
        <is>
          <t>n değerleri g</t>
        </is>
      </c>
      <c r="L63" s="4" t="inlineStr">
        <is>
          <t>ünc</t>
        </is>
      </c>
      <c r="M63" s="4" t="inlineStr">
        <is>
          <t>ellenerek payl</t>
        </is>
      </c>
      <c r="N63" s="4" t="inlineStr">
        <is>
          <t>aşılmış</t>
        </is>
      </c>
      <c r="O63" s="4" t="inlineStr">
        <is>
          <t>tır.</t>
        </is>
      </c>
    </row>
    <row r="65">
      <c r="A65" s="4" t="inlineStr">
        <is>
          <t>Arz edilen</t>
        </is>
      </c>
      <c r="B65" s="4" t="inlineStr">
        <is>
          <t>K</t>
        </is>
      </c>
      <c r="C65" s="4" t="inlineStr">
        <is>
          <t>oltuk</t>
        </is>
      </c>
      <c r="D65" s="4" t="inlineStr">
        <is>
          <t>Kilo</t>
        </is>
      </c>
      <c r="E65" s="4" t="inlineStr">
        <is>
          <t>met</t>
        </is>
      </c>
      <c r="F65" s="4" t="inlineStr">
        <is>
          <t>re (ASK) = U</t>
        </is>
      </c>
      <c r="G65" s="4" t="inlineStr">
        <is>
          <t>çuş</t>
        </is>
      </c>
      <c r="H65" s="4" t="inlineStr">
        <is>
          <t>a arz edile</t>
        </is>
      </c>
      <c r="I65" s="4" t="inlineStr">
        <is>
          <t>n koltuk sayısı x Orta</t>
        </is>
      </c>
      <c r="J65" s="4" t="inlineStr">
        <is>
          <t>lama</t>
        </is>
      </c>
      <c r="K65" s="4" t="inlineStr">
        <is>
          <t>Uçuş Mesa</t>
        </is>
      </c>
      <c r="L65" s="4" t="inlineStr">
        <is>
          <t>fes</t>
        </is>
      </c>
      <c r="M65" s="4" t="inlineStr">
        <is>
          <t>i</t>
        </is>
      </c>
    </row>
    <row r="67">
      <c r="A67" s="4" t="inlineStr">
        <is>
          <t>Doluluk O</t>
        </is>
      </c>
      <c r="B67" s="4" t="inlineStr">
        <is>
          <t>ra</t>
        </is>
      </c>
      <c r="C67" s="4" t="inlineStr">
        <is>
          <t>nı =</t>
        </is>
      </c>
      <c r="D67" s="4" t="inlineStr">
        <is>
          <t>Biletle</t>
        </is>
      </c>
      <c r="E67" s="4" t="inlineStr">
        <is>
          <t>nm</t>
        </is>
      </c>
      <c r="F67" s="4" t="inlineStr">
        <is>
          <t>iş misafir sa</t>
        </is>
      </c>
      <c r="G67" s="4" t="inlineStr">
        <is>
          <t>yısı</t>
        </is>
      </c>
      <c r="H67" s="4" t="inlineStr">
        <is>
          <t>/ Toplam</t>
        </is>
      </c>
      <c r="I67" s="4" t="inlineStr">
        <is>
          <t>koltuk sayısı</t>
        </is>
      </c>
    </row>
    <row r="69">
      <c r="A69" s="4" t="inlineStr">
        <is>
          <t>RPK (Rev</t>
        </is>
      </c>
      <c r="B69" s="4" t="inlineStr">
        <is>
          <t>en</t>
        </is>
      </c>
      <c r="C69" s="4" t="inlineStr">
        <is>
          <t>ue Pa</t>
        </is>
      </c>
      <c r="D69" s="4" t="inlineStr">
        <is>
          <t>ssen</t>
        </is>
      </c>
      <c r="E69" s="4" t="inlineStr">
        <is>
          <t>ger</t>
        </is>
      </c>
      <c r="F69" s="4" t="inlineStr">
        <is>
          <t>Kilometer):</t>
        </is>
      </c>
      <c r="G69" s="4" t="inlineStr">
        <is>
          <t>Ücr</t>
        </is>
      </c>
      <c r="H69" s="4" t="inlineStr">
        <is>
          <t>etli Yolcu</t>
        </is>
      </c>
      <c r="I69" s="4" t="inlineStr">
        <is>
          <t>Kilometre</t>
        </is>
      </c>
    </row>
    <row r="71">
      <c r="A71" s="4" t="inlineStr">
        <is>
          <t>Genel (P</t>
        </is>
      </c>
      <c r="B71" s="4" t="inlineStr">
        <is>
          <t>ublic)</t>
        </is>
      </c>
    </row>
  </sheetData>
  <mergeCells count="1">
    <mergeCell ref="A17:S1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69"/>
  <sheetViews>
    <sheetView workbookViewId="0">
      <selection activeCell="A1" sqref="A1"/>
    </sheetView>
  </sheetViews>
  <sheetFormatPr baseColWidth="8" defaultRowHeight="15"/>
  <cols>
    <col width="26" customWidth="1" min="1" max="1"/>
    <col width="15" customWidth="1" min="2" max="2"/>
    <col width="12" customWidth="1" min="3" max="3"/>
    <col width="13" customWidth="1" min="4" max="4"/>
    <col width="12" customWidth="1" min="5" max="5"/>
    <col width="13" customWidth="1" min="6" max="6"/>
    <col width="12" customWidth="1" min="7" max="7"/>
    <col width="19" customWidth="1" min="8" max="8"/>
    <col width="31" customWidth="1" min="9" max="9"/>
    <col width="12" customWidth="1" min="10" max="10"/>
    <col width="12" customWidth="1" min="11" max="11"/>
    <col width="12" customWidth="1" min="12" max="12"/>
    <col width="12" customWidth="1" min="13" max="13"/>
    <col width="12" customWidth="1" min="14" max="14"/>
    <col width="14" customWidth="1" min="15" max="15"/>
    <col width="12" customWidth="1" min="16" max="16"/>
    <col width="12" customWidth="1" min="17" max="17"/>
    <col width="12" customWidth="1" min="18" max="18"/>
    <col width="12" customWidth="1" min="19" max="19"/>
    <col width="12" customWidth="1" min="20" max="20"/>
    <col width="12" customWidth="1" min="21" max="21"/>
  </cols>
  <sheetData>
    <row r="1">
      <c r="A1" s="4" t="inlineStr">
        <is>
          <t>P E G A S U S H</t>
        </is>
      </c>
      <c r="B1" s="4" t="inlineStr">
        <is>
          <t>A V A T A Ş I</t>
        </is>
      </c>
      <c r="C1" s="4" t="inlineStr">
        <is>
          <t>M</t>
        </is>
      </c>
      <c r="D1" s="4" t="inlineStr">
        <is>
          <t>A</t>
        </is>
      </c>
      <c r="E1" s="4" t="inlineStr">
        <is>
          <t>C I L</t>
        </is>
      </c>
      <c r="F1" s="4" t="inlineStr">
        <is>
          <t>I Ğ I A . Ş</t>
        </is>
      </c>
      <c r="G1" s="4" t="inlineStr">
        <is>
          <t>.</t>
        </is>
      </c>
    </row>
    <row r="3">
      <c r="A3" s="4" t="inlineStr">
        <is>
          <t>O C A K 2 0 2 5</t>
        </is>
      </c>
      <c r="B3" s="4" t="inlineStr">
        <is>
          <t>T R A F İ K S</t>
        </is>
      </c>
      <c r="C3" s="4" t="inlineStr">
        <is>
          <t>O N</t>
        </is>
      </c>
      <c r="D3" s="4" t="inlineStr">
        <is>
          <t>U</t>
        </is>
      </c>
      <c r="E3" s="4" t="inlineStr">
        <is>
          <t>Ç L</t>
        </is>
      </c>
      <c r="F3" s="4" t="inlineStr">
        <is>
          <t>A R I</t>
        </is>
      </c>
    </row>
    <row r="5">
      <c r="A5" s="2" t="inlineStr">
        <is>
          <t>A Y L I K</t>
        </is>
      </c>
    </row>
    <row r="7">
      <c r="A7" s="4" t="inlineStr">
        <is>
          <t>O c</t>
        </is>
      </c>
      <c r="B7" s="4" t="inlineStr">
        <is>
          <t>a k</t>
        </is>
      </c>
      <c r="C7" s="4" t="inlineStr">
        <is>
          <t>O c a k</t>
        </is>
      </c>
      <c r="D7" s="4" t="inlineStr">
        <is>
          <t>' 2</t>
        </is>
      </c>
      <c r="E7" s="4" t="inlineStr">
        <is>
          <t>5 / ' 2 4</t>
        </is>
      </c>
    </row>
    <row r="9">
      <c r="A9" s="4" t="inlineStr">
        <is>
          <t>2 0</t>
        </is>
      </c>
      <c r="B9" s="5" t="n">
        <v>25</v>
      </c>
      <c r="C9" s="5" t="n">
        <v>2024</v>
      </c>
      <c r="D9" s="4" t="inlineStr">
        <is>
          <t>%</t>
        </is>
      </c>
      <c r="E9" s="4" t="inlineStr">
        <is>
          <t>D e ğ .</t>
        </is>
      </c>
    </row>
    <row r="11">
      <c r="A11" s="4" t="inlineStr">
        <is>
          <t>M i</t>
        </is>
      </c>
      <c r="B11" s="4" t="inlineStr">
        <is>
          <t>s</t>
        </is>
      </c>
      <c r="C11" s="4" t="inlineStr">
        <is>
          <t>a f i r</t>
        </is>
      </c>
      <c r="D11" s="4" t="inlineStr">
        <is>
          <t>s a y ı s</t>
        </is>
      </c>
      <c r="E11" s="4" t="inlineStr">
        <is>
          <t>ı ,</t>
        </is>
      </c>
      <c r="F11" s="4" t="inlineStr">
        <is>
          <t>m n</t>
        </is>
      </c>
      <c r="G11" s="6" t="n">
        <v>3.1</v>
      </c>
      <c r="H11" s="5" t="n">
        <v>9</v>
      </c>
      <c r="I11" s="6" t="n">
        <v>2.66</v>
      </c>
      <c r="J11" s="7" t="n">
        <v>0.2</v>
      </c>
    </row>
    <row r="13">
      <c r="A13" s="4" t="inlineStr">
        <is>
          <t>K</t>
        </is>
      </c>
      <c r="B13" s="4" t="inlineStr">
        <is>
          <t>o n</t>
        </is>
      </c>
      <c r="C13" s="4" t="inlineStr">
        <is>
          <t>m a</t>
        </is>
      </c>
      <c r="D13" s="5" t="n">
        <v>1</v>
      </c>
      <c r="E13" s="6" t="n">
        <v>7.8</v>
      </c>
      <c r="F13" s="5" t="n">
        <v>53</v>
      </c>
      <c r="G13" s="5" t="n">
        <v>15238</v>
      </c>
      <c r="H13" s="7" t="n">
        <v>0.17</v>
      </c>
    </row>
    <row r="15">
      <c r="A15" s="4" t="inlineStr">
        <is>
          <t>K</t>
        </is>
      </c>
      <c r="B15" s="4" t="inlineStr">
        <is>
          <t>o lt</t>
        </is>
      </c>
      <c r="C15" s="4" t="inlineStr">
        <is>
          <t>u k</t>
        </is>
      </c>
      <c r="D15" s="4" t="inlineStr">
        <is>
          <t>s a y ı s ı</t>
        </is>
      </c>
      <c r="E15" s="4" t="inlineStr">
        <is>
          <t>,</t>
        </is>
      </c>
      <c r="F15" s="4" t="inlineStr">
        <is>
          <t>m n</t>
        </is>
      </c>
      <c r="G15" s="6" t="n">
        <v>3.7</v>
      </c>
      <c r="H15" s="5" t="n">
        <v>4</v>
      </c>
      <c r="I15" s="6" t="n">
        <v>3.12</v>
      </c>
      <c r="J15" s="7" t="n">
        <v>0.2</v>
      </c>
    </row>
    <row r="17">
      <c r="A17" s="2" t="inlineStr">
        <is>
          <t>T o p l a m</t>
        </is>
      </c>
    </row>
    <row r="18">
      <c r="A18" s="4" t="inlineStr">
        <is>
          <t>D</t>
        </is>
      </c>
      <c r="B18" s="4" t="inlineStr">
        <is>
          <t>o l</t>
        </is>
      </c>
      <c r="C18" s="4" t="inlineStr">
        <is>
          <t>u l u</t>
        </is>
      </c>
      <c r="D18" s="4" t="inlineStr">
        <is>
          <t>k O r a</t>
        </is>
      </c>
      <c r="E18" s="4" t="inlineStr">
        <is>
          <t>n ı</t>
        </is>
      </c>
      <c r="F18" s="5" t="n">
        <v>85</v>
      </c>
      <c r="G18" s="7" t="n">
        <v>0.03</v>
      </c>
      <c r="H18" s="7" t="n">
        <v>0.852</v>
      </c>
      <c r="I18" s="8" t="n">
        <v>0.1</v>
      </c>
    </row>
    <row r="20">
      <c r="A20" s="4" t="inlineStr">
        <is>
          <t>A</t>
        </is>
      </c>
      <c r="B20" s="4" t="inlineStr">
        <is>
          <t>S K</t>
        </is>
      </c>
      <c r="C20" s="4" t="inlineStr">
        <is>
          <t>(</t>
        </is>
      </c>
      <c r="D20" s="4" t="inlineStr">
        <is>
          <t>m ln k m</t>
        </is>
      </c>
      <c r="E20" s="4" t="inlineStr">
        <is>
          <t>)</t>
        </is>
      </c>
      <c r="F20" s="6" t="n">
        <v>5.7</v>
      </c>
      <c r="G20" s="5" t="n">
        <v>10</v>
      </c>
      <c r="H20" s="5" t="n">
        <v>4785</v>
      </c>
      <c r="I20" s="7" t="n">
        <v>0.19</v>
      </c>
    </row>
    <row r="22">
      <c r="A22" s="4" t="inlineStr">
        <is>
          <t>K</t>
        </is>
      </c>
      <c r="B22" s="4" t="inlineStr">
        <is>
          <t>o n</t>
        </is>
      </c>
      <c r="C22" s="4" t="inlineStr">
        <is>
          <t>m a</t>
        </is>
      </c>
      <c r="D22" s="4" t="inlineStr">
        <is>
          <t>b a ş ı n</t>
        </is>
      </c>
      <c r="E22" s="4" t="inlineStr">
        <is>
          <t>a</t>
        </is>
      </c>
      <c r="F22" s="4" t="inlineStr">
        <is>
          <t>M i s</t>
        </is>
      </c>
      <c r="G22" s="4" t="inlineStr">
        <is>
          <t>a f i r</t>
        </is>
      </c>
      <c r="H22" s="5" t="n">
        <v>17</v>
      </c>
      <c r="I22" s="5" t="n">
        <v>9</v>
      </c>
      <c r="J22" s="5" t="n">
        <v>175</v>
      </c>
      <c r="K22" s="7" t="n">
        <v>0.02</v>
      </c>
    </row>
    <row r="24">
      <c r="A24" s="4" t="inlineStr">
        <is>
          <t>M i</t>
        </is>
      </c>
      <c r="B24" s="4" t="inlineStr">
        <is>
          <t>s</t>
        </is>
      </c>
      <c r="C24" s="4" t="inlineStr">
        <is>
          <t>a f i r</t>
        </is>
      </c>
      <c r="D24" s="4" t="inlineStr">
        <is>
          <t>s a y ı s</t>
        </is>
      </c>
      <c r="E24" s="4" t="inlineStr">
        <is>
          <t>ı ,</t>
        </is>
      </c>
      <c r="F24" s="4" t="inlineStr">
        <is>
          <t>m n</t>
        </is>
      </c>
      <c r="G24" s="6" t="n">
        <v>1.2</v>
      </c>
      <c r="H24" s="5" t="n">
        <v>1</v>
      </c>
      <c r="I24" s="6" t="n">
        <v>1.07</v>
      </c>
      <c r="J24" s="7" t="n">
        <v>0.12</v>
      </c>
    </row>
    <row r="26">
      <c r="A26" s="4" t="inlineStr">
        <is>
          <t>K</t>
        </is>
      </c>
      <c r="B26" s="4" t="inlineStr">
        <is>
          <t>o n</t>
        </is>
      </c>
      <c r="C26" s="4" t="inlineStr">
        <is>
          <t>m a</t>
        </is>
      </c>
      <c r="D26" s="6" t="n">
        <v>6.4</v>
      </c>
      <c r="E26" s="5" t="n">
        <v>31</v>
      </c>
      <c r="F26" s="5" t="n">
        <v>6057</v>
      </c>
      <c r="G26" s="7" t="n">
        <v>0.06</v>
      </c>
    </row>
    <row r="28">
      <c r="A28" s="4" t="inlineStr">
        <is>
          <t>K</t>
        </is>
      </c>
      <c r="B28" s="4" t="inlineStr">
        <is>
          <t>o lt</t>
        </is>
      </c>
      <c r="C28" s="4" t="inlineStr">
        <is>
          <t>u k</t>
        </is>
      </c>
      <c r="D28" s="4" t="inlineStr">
        <is>
          <t>s a y ı s ı</t>
        </is>
      </c>
      <c r="E28" s="4" t="inlineStr">
        <is>
          <t>,</t>
        </is>
      </c>
      <c r="F28" s="4" t="inlineStr">
        <is>
          <t>m n</t>
        </is>
      </c>
      <c r="G28" s="6" t="n">
        <v>1.3</v>
      </c>
      <c r="H28" s="5" t="n">
        <v>4</v>
      </c>
      <c r="I28" s="6" t="n">
        <v>1.21</v>
      </c>
      <c r="J28" s="7" t="n">
        <v>0.11</v>
      </c>
    </row>
    <row r="30">
      <c r="A30" s="2" t="inlineStr">
        <is>
          <t>İ ç H a t l a r</t>
        </is>
      </c>
    </row>
    <row r="31">
      <c r="A31" s="4" t="inlineStr">
        <is>
          <t>D</t>
        </is>
      </c>
      <c r="B31" s="4" t="inlineStr">
        <is>
          <t>o l</t>
        </is>
      </c>
      <c r="C31" s="4" t="inlineStr">
        <is>
          <t>u l u</t>
        </is>
      </c>
      <c r="D31" s="4" t="inlineStr">
        <is>
          <t>k O r a</t>
        </is>
      </c>
      <c r="E31" s="4" t="inlineStr">
        <is>
          <t>n ı</t>
        </is>
      </c>
      <c r="F31" s="5" t="n">
        <v>90</v>
      </c>
      <c r="G31" s="7" t="n">
        <v>0</v>
      </c>
      <c r="H31" s="7" t="n">
        <v>0.889</v>
      </c>
      <c r="I31" s="8" t="n">
        <v>1.1</v>
      </c>
    </row>
    <row r="33">
      <c r="A33" s="4" t="inlineStr">
        <is>
          <t>A</t>
        </is>
      </c>
      <c r="B33" s="4" t="inlineStr">
        <is>
          <t>S K</t>
        </is>
      </c>
      <c r="C33" s="4" t="inlineStr">
        <is>
          <t>(</t>
        </is>
      </c>
      <c r="D33" s="4" t="inlineStr">
        <is>
          <t>m ln k m</t>
        </is>
      </c>
      <c r="E33" s="4" t="inlineStr">
        <is>
          <t>)</t>
        </is>
      </c>
      <c r="F33" s="5" t="n">
        <v>1</v>
      </c>
      <c r="G33" s="5" t="n">
        <v>22</v>
      </c>
      <c r="H33" s="5" t="n">
        <v>917</v>
      </c>
      <c r="I33" s="7" t="n">
        <v>0.11</v>
      </c>
    </row>
    <row r="35">
      <c r="A35" s="4" t="inlineStr">
        <is>
          <t>K</t>
        </is>
      </c>
      <c r="B35" s="4" t="inlineStr">
        <is>
          <t>o n</t>
        </is>
      </c>
      <c r="C35" s="4" t="inlineStr">
        <is>
          <t>m a</t>
        </is>
      </c>
      <c r="D35" s="4" t="inlineStr">
        <is>
          <t>b a ş ı n</t>
        </is>
      </c>
      <c r="E35" s="4" t="inlineStr">
        <is>
          <t>a</t>
        </is>
      </c>
      <c r="F35" s="4" t="inlineStr">
        <is>
          <t>M i s</t>
        </is>
      </c>
      <c r="G35" s="4" t="inlineStr">
        <is>
          <t>a f i r</t>
        </is>
      </c>
      <c r="H35" s="5" t="n">
        <v>18</v>
      </c>
      <c r="I35" s="5" t="n">
        <v>8</v>
      </c>
      <c r="J35" s="5" t="n">
        <v>177</v>
      </c>
      <c r="K35" s="7" t="n">
        <v>0.06</v>
      </c>
    </row>
    <row r="37">
      <c r="A37" s="4" t="inlineStr">
        <is>
          <t>M i</t>
        </is>
      </c>
      <c r="B37" s="4" t="inlineStr">
        <is>
          <t>s</t>
        </is>
      </c>
      <c r="C37" s="4" t="inlineStr">
        <is>
          <t>a f i r</t>
        </is>
      </c>
      <c r="D37" s="4" t="inlineStr">
        <is>
          <t>s a y ı s</t>
        </is>
      </c>
      <c r="E37" s="4" t="inlineStr">
        <is>
          <t>ı ,</t>
        </is>
      </c>
      <c r="F37" s="4" t="inlineStr">
        <is>
          <t>m n</t>
        </is>
      </c>
      <c r="G37" s="6" t="n">
        <v>1.9</v>
      </c>
      <c r="H37" s="5" t="n">
        <v>8</v>
      </c>
      <c r="I37" s="6" t="n">
        <v>1.59</v>
      </c>
      <c r="J37" s="7" t="n">
        <v>0.25</v>
      </c>
    </row>
    <row r="39">
      <c r="A39" s="4" t="inlineStr">
        <is>
          <t>K</t>
        </is>
      </c>
      <c r="B39" s="4" t="inlineStr">
        <is>
          <t>o n</t>
        </is>
      </c>
      <c r="C39" s="4" t="inlineStr">
        <is>
          <t>m a</t>
        </is>
      </c>
      <c r="D39" s="5" t="n">
        <v>1</v>
      </c>
      <c r="E39" s="6" t="n">
        <v>1.4</v>
      </c>
      <c r="F39" s="5" t="n">
        <v>22</v>
      </c>
      <c r="G39" s="5" t="n">
        <v>9181</v>
      </c>
      <c r="H39" s="7" t="n">
        <v>0.24</v>
      </c>
    </row>
    <row r="41">
      <c r="A41" s="4" t="inlineStr">
        <is>
          <t>K</t>
        </is>
      </c>
      <c r="B41" s="4" t="inlineStr">
        <is>
          <t>o lt</t>
        </is>
      </c>
      <c r="C41" s="4" t="inlineStr">
        <is>
          <t>u k</t>
        </is>
      </c>
      <c r="D41" s="4" t="inlineStr">
        <is>
          <t>s a y ı s ı</t>
        </is>
      </c>
      <c r="E41" s="4" t="inlineStr">
        <is>
          <t>,</t>
        </is>
      </c>
      <c r="F41" s="4" t="inlineStr">
        <is>
          <t>m n</t>
        </is>
      </c>
      <c r="G41" s="6" t="n">
        <v>2.4</v>
      </c>
      <c r="H41" s="5" t="n">
        <v>0</v>
      </c>
      <c r="I41" s="6" t="n">
        <v>1.92</v>
      </c>
      <c r="J41" s="7" t="n">
        <v>0.25</v>
      </c>
    </row>
    <row r="43">
      <c r="A43" s="2" t="inlineStr">
        <is>
          <t>D ı ş H a t l a r *</t>
        </is>
      </c>
    </row>
    <row r="45">
      <c r="A45" s="4" t="inlineStr">
        <is>
          <t>D</t>
        </is>
      </c>
      <c r="B45" s="4" t="inlineStr">
        <is>
          <t>o l</t>
        </is>
      </c>
      <c r="C45" s="4" t="inlineStr">
        <is>
          <t>u l u</t>
        </is>
      </c>
      <c r="D45" s="4" t="inlineStr">
        <is>
          <t>k O r a</t>
        </is>
      </c>
      <c r="E45" s="4" t="inlineStr">
        <is>
          <t>n ı</t>
        </is>
      </c>
      <c r="F45" s="5" t="n">
        <v>82</v>
      </c>
      <c r="G45" s="7" t="n">
        <v>0.06</v>
      </c>
      <c r="H45" s="7" t="n">
        <v>0.828</v>
      </c>
      <c r="I45" s="4" t="inlineStr">
        <is>
          <t>-</t>
        </is>
      </c>
      <c r="J45" s="8" t="n">
        <v>0.2</v>
      </c>
    </row>
    <row r="47">
      <c r="A47" s="4" t="inlineStr">
        <is>
          <t>A</t>
        </is>
      </c>
      <c r="B47" s="4" t="inlineStr">
        <is>
          <t>S K</t>
        </is>
      </c>
      <c r="C47" s="4" t="inlineStr">
        <is>
          <t>(</t>
        </is>
      </c>
      <c r="D47" s="4" t="inlineStr">
        <is>
          <t>m ln k m</t>
        </is>
      </c>
      <c r="E47" s="4" t="inlineStr">
        <is>
          <t>)</t>
        </is>
      </c>
      <c r="F47" s="6" t="n">
        <v>4.6</v>
      </c>
      <c r="G47" s="5" t="n">
        <v>88</v>
      </c>
      <c r="H47" s="5" t="n">
        <v>3868</v>
      </c>
      <c r="I47" s="7" t="n">
        <v>0.21</v>
      </c>
    </row>
    <row r="49">
      <c r="A49" s="4" t="inlineStr">
        <is>
          <t>K</t>
        </is>
      </c>
      <c r="B49" s="4" t="inlineStr">
        <is>
          <t>o n</t>
        </is>
      </c>
      <c r="C49" s="4" t="inlineStr">
        <is>
          <t>m a</t>
        </is>
      </c>
      <c r="D49" s="4" t="inlineStr">
        <is>
          <t>b a ş ı n</t>
        </is>
      </c>
      <c r="E49" s="4" t="inlineStr">
        <is>
          <t>a</t>
        </is>
      </c>
      <c r="F49" s="4" t="inlineStr">
        <is>
          <t>M i s</t>
        </is>
      </c>
      <c r="G49" s="4" t="inlineStr">
        <is>
          <t>a f i r</t>
        </is>
      </c>
      <c r="H49" s="5" t="n">
        <v>17</v>
      </c>
      <c r="I49" s="5" t="n">
        <v>4</v>
      </c>
      <c r="J49" s="5" t="n">
        <v>173</v>
      </c>
      <c r="K49" s="7" t="n">
        <v>0</v>
      </c>
    </row>
    <row r="51">
      <c r="A51" s="2" t="inlineStr">
        <is>
          <t>* C h a r t e r d a h il</t>
        </is>
      </c>
    </row>
    <row r="53">
      <c r="A53" s="4" t="inlineStr">
        <is>
          <t>K a r b o n E m i</t>
        </is>
      </c>
      <c r="B53" s="4" t="inlineStr">
        <is>
          <t>s y o n u İ s</t>
        </is>
      </c>
      <c r="C53" s="4" t="inlineStr">
        <is>
          <t>t a</t>
        </is>
      </c>
      <c r="D53" s="4" t="inlineStr">
        <is>
          <t>t i</t>
        </is>
      </c>
      <c r="E53" s="4" t="inlineStr">
        <is>
          <t>s t i</t>
        </is>
      </c>
      <c r="F53" s="4" t="inlineStr">
        <is>
          <t>k l e r i</t>
        </is>
      </c>
    </row>
    <row r="55">
      <c r="A55" s="4" t="inlineStr">
        <is>
          <t>A Y L I K</t>
        </is>
      </c>
      <c r="B55" s="4" t="inlineStr">
        <is>
          <t>A ğ u</t>
        </is>
      </c>
      <c r="C55" s="4" t="inlineStr">
        <is>
          <t>. ' 2</t>
        </is>
      </c>
      <c r="D55" s="5" t="n">
        <v>4</v>
      </c>
      <c r="E55" s="4" t="inlineStr">
        <is>
          <t>E y l</t>
        </is>
      </c>
      <c r="F55" s="4" t="inlineStr">
        <is>
          <t>. ' 2 4</t>
        </is>
      </c>
      <c r="G55" s="4" t="inlineStr">
        <is>
          <t>E k i</t>
        </is>
      </c>
      <c r="H55" s="4" t="inlineStr">
        <is>
          <t>. ' 2 4 K a s . '</t>
        </is>
      </c>
      <c r="I55" s="4" t="inlineStr">
        <is>
          <t>2 4 A</t>
        </is>
      </c>
      <c r="J55" s="4" t="inlineStr">
        <is>
          <t>r a</t>
        </is>
      </c>
      <c r="K55" s="4" t="inlineStr">
        <is>
          <t>. ' 2 4</t>
        </is>
      </c>
      <c r="L55" s="4" t="inlineStr">
        <is>
          <t>O c</t>
        </is>
      </c>
      <c r="M55" s="4" t="inlineStr">
        <is>
          <t>a .</t>
        </is>
      </c>
      <c r="N55" s="4" t="inlineStr">
        <is>
          <t>' 2</t>
        </is>
      </c>
    </row>
    <row r="57">
      <c r="A57" s="4" t="inlineStr">
        <is>
          <t>C O 2 g r a m / R</t>
        </is>
      </c>
      <c r="B57" s="4" t="inlineStr">
        <is>
          <t>P K</t>
        </is>
      </c>
      <c r="C57" s="5" t="n">
        <v>57</v>
      </c>
      <c r="D57" s="6" t="n">
        <v>0.1</v>
      </c>
      <c r="E57" s="5" t="n">
        <v>57</v>
      </c>
      <c r="F57" s="6" t="n">
        <v>0.8</v>
      </c>
      <c r="G57" s="5" t="n">
        <v>58</v>
      </c>
      <c r="H57" s="5" t="n">
        <v>458</v>
      </c>
      <c r="I57" s="5" t="n">
        <v>3</v>
      </c>
      <c r="J57" s="5" t="n">
        <v>5</v>
      </c>
      <c r="K57" s="6" t="n">
        <v>8.4</v>
      </c>
      <c r="L57" s="5" t="n">
        <v>5</v>
      </c>
      <c r="M57" s="5" t="n">
        <v>8</v>
      </c>
      <c r="N57" s="5" t="n">
        <v>2</v>
      </c>
    </row>
    <row r="59">
      <c r="A59" s="4" t="inlineStr">
        <is>
          <t>K Ü M Ü L A T İ F</t>
        </is>
      </c>
      <c r="B59" s="5" t="n">
        <v>20</v>
      </c>
      <c r="C59" s="5" t="n">
        <v>19</v>
      </c>
      <c r="D59" s="5" t="n">
        <v>20</v>
      </c>
      <c r="E59" s="5" t="n">
        <v>20</v>
      </c>
      <c r="F59" s="5" t="n">
        <v>20</v>
      </c>
      <c r="G59" s="5" t="n">
        <v>21202</v>
      </c>
      <c r="H59" s="5" t="n">
        <v>2</v>
      </c>
      <c r="I59" s="5" t="n">
        <v>20</v>
      </c>
      <c r="J59" s="5" t="n">
        <v>23</v>
      </c>
      <c r="K59" s="5" t="n">
        <v>2</v>
      </c>
      <c r="L59" s="5" t="n">
        <v>2</v>
      </c>
      <c r="M59" s="5" t="n">
        <v>4</v>
      </c>
    </row>
    <row r="61">
      <c r="A61" s="4" t="inlineStr">
        <is>
          <t>C O 2 g r a m / R</t>
        </is>
      </c>
      <c r="B61" s="4" t="inlineStr">
        <is>
          <t>P K</t>
        </is>
      </c>
      <c r="C61" s="5" t="n">
        <v>65</v>
      </c>
      <c r="D61" s="6" t="n">
        <v>0.1</v>
      </c>
      <c r="E61" s="5" t="n">
        <v>71</v>
      </c>
      <c r="F61" s="6" t="n">
        <v>0.3</v>
      </c>
      <c r="G61" s="5" t="n">
        <v>71</v>
      </c>
      <c r="H61" s="5" t="n">
        <v>62</v>
      </c>
      <c r="I61" s="5" t="n">
        <v>1</v>
      </c>
      <c r="J61" s="5" t="n">
        <v>6</v>
      </c>
      <c r="K61" s="6" t="n">
        <v>1.3</v>
      </c>
      <c r="L61" s="5" t="n">
        <v>5</v>
      </c>
      <c r="M61" s="5" t="n">
        <v>8</v>
      </c>
      <c r="N61" s="5" t="n">
        <v>3</v>
      </c>
    </row>
    <row r="62">
      <c r="A62" s="4" t="inlineStr">
        <is>
          <t>Karbon Emisy</t>
        </is>
      </c>
      <c r="B62" s="4" t="inlineStr">
        <is>
          <t>onu İstatis</t>
        </is>
      </c>
      <c r="C62" s="4" t="inlineStr">
        <is>
          <t>tik</t>
        </is>
      </c>
      <c r="D62" s="4" t="inlineStr">
        <is>
          <t>le</t>
        </is>
      </c>
      <c r="E62" s="4" t="inlineStr">
        <is>
          <t>rin</t>
        </is>
      </c>
      <c r="F62" s="4" t="inlineStr">
        <is>
          <t>de (grC</t>
        </is>
      </c>
      <c r="G62" s="4" t="inlineStr">
        <is>
          <t>O</t>
        </is>
      </c>
      <c r="H62" s="4" t="inlineStr">
        <is>
          <t>2/R</t>
        </is>
      </c>
      <c r="I62" s="4" t="inlineStr">
        <is>
          <t>PK) jet yakıtı emisyon kat</t>
        </is>
      </c>
      <c r="J62" s="4" t="inlineStr">
        <is>
          <t>say</t>
        </is>
      </c>
      <c r="K62" s="4" t="inlineStr">
        <is>
          <t>ısı</t>
        </is>
      </c>
      <c r="L62" s="4" t="inlineStr">
        <is>
          <t>baz</t>
        </is>
      </c>
      <c r="M62" s="4" t="inlineStr">
        <is>
          <t>yıl ve</t>
        </is>
      </c>
      <c r="N62" s="4" t="inlineStr">
        <is>
          <t>tüm</t>
        </is>
      </c>
      <c r="O62" s="4" t="inlineStr">
        <is>
          <t>raporlanan d</t>
        </is>
      </c>
      <c r="P62" s="4" t="inlineStr">
        <is>
          <t>önemle</t>
        </is>
      </c>
      <c r="Q62" s="4" t="inlineStr">
        <is>
          <t>r</t>
        </is>
      </c>
      <c r="R62" s="4" t="inlineStr">
        <is>
          <t>için</t>
        </is>
      </c>
      <c r="S62" s="4" t="inlineStr">
        <is>
          <t>3,16 o</t>
        </is>
      </c>
      <c r="T62" s="4" t="inlineStr">
        <is>
          <t>la</t>
        </is>
      </c>
      <c r="U62" s="4" t="inlineStr">
        <is>
          <t>ra</t>
        </is>
      </c>
    </row>
    <row r="63">
      <c r="A63" s="2" t="inlineStr">
        <is>
          <t>kullanılmıştır.</t>
        </is>
      </c>
    </row>
    <row r="65">
      <c r="A65" s="4" t="inlineStr">
        <is>
          <t>Arz edilen Koltu</t>
        </is>
      </c>
      <c r="B65" s="4" t="inlineStr">
        <is>
          <t>k Kilometre</t>
        </is>
      </c>
      <c r="C65" s="4" t="inlineStr">
        <is>
          <t>(A</t>
        </is>
      </c>
      <c r="D65" s="4" t="inlineStr">
        <is>
          <t>SK</t>
        </is>
      </c>
      <c r="E65" s="4" t="inlineStr">
        <is>
          <t>) =</t>
        </is>
      </c>
      <c r="F65" s="4" t="inlineStr">
        <is>
          <t>Uçuşa a</t>
        </is>
      </c>
      <c r="G65" s="4" t="inlineStr">
        <is>
          <t>rz</t>
        </is>
      </c>
      <c r="H65" s="4" t="inlineStr">
        <is>
          <t>edile</t>
        </is>
      </c>
      <c r="I65" s="4" t="inlineStr">
        <is>
          <t>n koltuk sayısı x Ortalama Uç</t>
        </is>
      </c>
      <c r="J65" s="4" t="inlineStr">
        <is>
          <t>uş</t>
        </is>
      </c>
      <c r="K65" s="4" t="inlineStr">
        <is>
          <t>Mes</t>
        </is>
      </c>
      <c r="L65" s="4" t="inlineStr">
        <is>
          <t>afesi</t>
        </is>
      </c>
    </row>
    <row r="67">
      <c r="A67" s="4" t="inlineStr">
        <is>
          <t>Doluluk Oranı =</t>
        </is>
      </c>
      <c r="B67" s="4" t="inlineStr">
        <is>
          <t>Biletlenmiş</t>
        </is>
      </c>
      <c r="C67" s="4" t="inlineStr">
        <is>
          <t>m</t>
        </is>
      </c>
      <c r="D67" s="4" t="inlineStr">
        <is>
          <t>isa</t>
        </is>
      </c>
      <c r="E67" s="4" t="inlineStr">
        <is>
          <t>fir</t>
        </is>
      </c>
      <c r="F67" s="4" t="inlineStr">
        <is>
          <t>sayısı /</t>
        </is>
      </c>
      <c r="G67" s="4" t="inlineStr">
        <is>
          <t>To</t>
        </is>
      </c>
      <c r="H67" s="4" t="inlineStr">
        <is>
          <t>plam</t>
        </is>
      </c>
      <c r="I67" s="4" t="inlineStr">
        <is>
          <t>koltuk sayısı</t>
        </is>
      </c>
    </row>
    <row r="69">
      <c r="A69" s="4" t="inlineStr">
        <is>
          <t>RPK (Revenue P</t>
        </is>
      </c>
      <c r="B69" s="4" t="inlineStr">
        <is>
          <t>assenger Ki</t>
        </is>
      </c>
      <c r="C69" s="4" t="inlineStr">
        <is>
          <t>lo</t>
        </is>
      </c>
      <c r="D69" s="4" t="inlineStr">
        <is>
          <t>me</t>
        </is>
      </c>
      <c r="E69" s="4" t="inlineStr">
        <is>
          <t>ter)</t>
        </is>
      </c>
      <c r="F69" s="4" t="inlineStr">
        <is>
          <t>: Ücretli</t>
        </is>
      </c>
      <c r="G69" s="4" t="inlineStr">
        <is>
          <t>Y</t>
        </is>
      </c>
      <c r="H69" s="4" t="inlineStr">
        <is>
          <t>olcu</t>
        </is>
      </c>
      <c r="I69" s="4" t="inlineStr">
        <is>
          <t>Kilometre</t>
        </is>
      </c>
    </row>
  </sheetData>
  <mergeCells count="6">
    <mergeCell ref="A30:U30"/>
    <mergeCell ref="A43:U43"/>
    <mergeCell ref="A51:U51"/>
    <mergeCell ref="A63:U63"/>
    <mergeCell ref="A5:U5"/>
    <mergeCell ref="A17:U1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cols>
    <col width="12" customWidth="1" min="1" max="1"/>
    <col width="25" customWidth="1" min="2" max="2"/>
    <col width="12" customWidth="1" min="3" max="3"/>
    <col width="12" customWidth="1" min="4" max="4"/>
    <col width="27" customWidth="1" min="5" max="5"/>
    <col width="12" customWidth="1" min="6" max="6"/>
    <col width="21" customWidth="1" min="7" max="7"/>
    <col width="22" customWidth="1" min="8" max="8"/>
    <col width="20" customWidth="1" min="9" max="9"/>
    <col width="16" customWidth="1" min="10" max="10"/>
    <col width="12" customWidth="1" min="11" max="11"/>
    <col width="14" customWidth="1" min="12" max="12"/>
    <col width="28" customWidth="1" min="13" max="13"/>
    <col width="12" customWidth="1" min="14" max="14"/>
    <col width="18" customWidth="1" min="15" max="15"/>
    <col width="12" customWidth="1" min="16" max="16"/>
    <col width="12" customWidth="1" min="17" max="17"/>
  </cols>
  <sheetData>
    <row r="1">
      <c r="A1" s="4" t="inlineStr">
        <is>
          <t>P E</t>
        </is>
      </c>
      <c r="B1" s="4" t="inlineStr">
        <is>
          <t>G A S U</t>
        </is>
      </c>
      <c r="C1" s="4" t="inlineStr">
        <is>
          <t>S H A V</t>
        </is>
      </c>
      <c r="D1" s="4" t="inlineStr">
        <is>
          <t>A T</t>
        </is>
      </c>
      <c r="E1" s="4" t="inlineStr">
        <is>
          <t>A Ş I M A C I L I Ğ</t>
        </is>
      </c>
      <c r="F1" s="4" t="inlineStr">
        <is>
          <t>I A . Ş</t>
        </is>
      </c>
      <c r="G1" s="4" t="inlineStr">
        <is>
          <t>.</t>
        </is>
      </c>
    </row>
    <row r="3">
      <c r="A3" s="4" t="inlineStr">
        <is>
          <t>Ş U</t>
        </is>
      </c>
      <c r="B3" s="4" t="inlineStr">
        <is>
          <t>B A T 2</t>
        </is>
      </c>
      <c r="C3" s="4" t="inlineStr">
        <is>
          <t>0 2 5 T R</t>
        </is>
      </c>
      <c r="D3" s="4" t="inlineStr">
        <is>
          <t>A F</t>
        </is>
      </c>
      <c r="E3" s="4" t="inlineStr">
        <is>
          <t>İ K S O N U Ç L A</t>
        </is>
      </c>
      <c r="F3" s="4" t="inlineStr">
        <is>
          <t>R I</t>
        </is>
      </c>
    </row>
    <row r="5">
      <c r="A5" s="4" t="inlineStr">
        <is>
          <t>A Y L I</t>
        </is>
      </c>
      <c r="B5" s="4" t="inlineStr">
        <is>
          <t>K</t>
        </is>
      </c>
      <c r="C5" s="4" t="inlineStr">
        <is>
          <t>K</t>
        </is>
      </c>
      <c r="D5" s="4" t="inlineStr">
        <is>
          <t>Ü M Ü</t>
        </is>
      </c>
      <c r="E5" s="4" t="inlineStr">
        <is>
          <t>L A T İ F</t>
        </is>
      </c>
    </row>
    <row r="7">
      <c r="A7" s="4" t="inlineStr">
        <is>
          <t>Ş</t>
        </is>
      </c>
      <c r="B7" s="4" t="inlineStr">
        <is>
          <t>u b a t</t>
        </is>
      </c>
      <c r="C7" s="4" t="inlineStr">
        <is>
          <t>Ş u b</t>
        </is>
      </c>
      <c r="D7" s="4" t="inlineStr">
        <is>
          <t>a t</t>
        </is>
      </c>
      <c r="E7" s="4" t="inlineStr">
        <is>
          <t>' 2</t>
        </is>
      </c>
      <c r="F7" s="4" t="inlineStr">
        <is>
          <t>5 / ' 2 4</t>
        </is>
      </c>
      <c r="G7" s="4" t="inlineStr">
        <is>
          <t>O c a . - Ş u b . O</t>
        </is>
      </c>
      <c r="H7" s="4" t="inlineStr">
        <is>
          <t>c a . -</t>
        </is>
      </c>
      <c r="I7" s="4" t="inlineStr">
        <is>
          <t>Ş u b .</t>
        </is>
      </c>
      <c r="J7" s="4" t="inlineStr">
        <is>
          <t>' 2</t>
        </is>
      </c>
      <c r="K7" s="4" t="inlineStr">
        <is>
          <t>5 / ' 2</t>
        </is>
      </c>
    </row>
    <row r="9">
      <c r="A9" s="4" t="inlineStr">
        <is>
          <t>2 0 2 5</t>
        </is>
      </c>
      <c r="B9" s="5" t="n">
        <v>202</v>
      </c>
      <c r="C9" s="5" t="n">
        <v>4</v>
      </c>
      <c r="D9" s="4" t="inlineStr">
        <is>
          <t>%</t>
        </is>
      </c>
      <c r="E9" s="4" t="inlineStr">
        <is>
          <t>D e ğ .</t>
        </is>
      </c>
      <c r="F9" s="5" t="n">
        <v>2025</v>
      </c>
      <c r="G9" s="5" t="n">
        <v>202</v>
      </c>
      <c r="H9" s="5" t="n">
        <v>4</v>
      </c>
      <c r="I9" s="4" t="inlineStr">
        <is>
          <t>%</t>
        </is>
      </c>
      <c r="J9" s="4" t="inlineStr">
        <is>
          <t>D e ğ</t>
        </is>
      </c>
    </row>
    <row r="11">
      <c r="A11" s="4" t="inlineStr">
        <is>
          <t>M i</t>
        </is>
      </c>
      <c r="B11" s="4" t="inlineStr">
        <is>
          <t>s a f i r s a y ı s ı ,</t>
        </is>
      </c>
      <c r="C11" s="4" t="inlineStr">
        <is>
          <t>m n</t>
        </is>
      </c>
      <c r="D11" s="6" t="n">
        <v>2.83</v>
      </c>
      <c r="E11" s="6" t="n">
        <v>2.6</v>
      </c>
      <c r="F11" s="5" t="n">
        <v>8</v>
      </c>
      <c r="G11" s="7" t="n">
        <v>0.06</v>
      </c>
      <c r="H11" s="6" t="n">
        <v>6.02</v>
      </c>
      <c r="I11" s="6" t="n">
        <v>5.3</v>
      </c>
      <c r="J11" s="5" t="n">
        <v>4</v>
      </c>
      <c r="K11" s="5" t="n">
        <v>1</v>
      </c>
      <c r="L11" s="7" t="n">
        <v>0.03</v>
      </c>
    </row>
    <row r="13">
      <c r="A13" s="4" t="inlineStr">
        <is>
          <t>K o</t>
        </is>
      </c>
      <c r="B13" s="4" t="inlineStr">
        <is>
          <t>n m a</t>
        </is>
      </c>
      <c r="C13" s="5" t="n">
        <v>1</v>
      </c>
      <c r="D13" s="5" t="n">
        <v>5119</v>
      </c>
      <c r="E13" s="6" t="n">
        <v>14.6</v>
      </c>
      <c r="F13" s="5" t="n">
        <v>58</v>
      </c>
      <c r="G13" s="7" t="n">
        <v>0.03</v>
      </c>
      <c r="H13" s="5" t="n">
        <v>32972</v>
      </c>
      <c r="I13" s="6" t="n">
        <v>29.8</v>
      </c>
      <c r="J13" s="5" t="n">
        <v>96</v>
      </c>
      <c r="K13" s="5" t="n">
        <v>1</v>
      </c>
      <c r="L13" s="7" t="n">
        <v>0</v>
      </c>
    </row>
    <row r="15">
      <c r="A15" s="4" t="inlineStr">
        <is>
          <t>K o</t>
        </is>
      </c>
      <c r="B15" s="4" t="inlineStr">
        <is>
          <t>lt u k s a y ı s ı ,</t>
        </is>
      </c>
      <c r="C15" s="4" t="inlineStr">
        <is>
          <t>m n</t>
        </is>
      </c>
      <c r="D15" s="6" t="n">
        <v>3.18</v>
      </c>
      <c r="E15" s="5" t="n">
        <v>3</v>
      </c>
      <c r="F15" s="5" t="n">
        <v>1</v>
      </c>
      <c r="G15" s="7" t="n">
        <v>0.05</v>
      </c>
      <c r="H15" s="6" t="n">
        <v>6.92</v>
      </c>
      <c r="I15" s="6" t="n">
        <v>6.1</v>
      </c>
      <c r="J15" s="5" t="n">
        <v>4</v>
      </c>
      <c r="K15" s="5" t="n">
        <v>1</v>
      </c>
      <c r="L15" s="7" t="n">
        <v>0.03</v>
      </c>
    </row>
    <row r="17">
      <c r="A17" s="4" t="inlineStr">
        <is>
          <t>T o</t>
        </is>
      </c>
      <c r="B17" s="4" t="inlineStr">
        <is>
          <t>p l a m</t>
        </is>
      </c>
    </row>
    <row r="18">
      <c r="A18" s="4" t="inlineStr">
        <is>
          <t>D o</t>
        </is>
      </c>
      <c r="B18" s="4" t="inlineStr">
        <is>
          <t>l u l u k O r a n ı</t>
        </is>
      </c>
      <c r="C18" s="5" t="n">
        <v>8</v>
      </c>
      <c r="D18" s="7" t="n">
        <v>0.091</v>
      </c>
      <c r="E18" s="6" t="n">
        <v>88.8</v>
      </c>
      <c r="F18" s="4" t="inlineStr">
        <is>
          <t>%</t>
        </is>
      </c>
      <c r="G18" s="5" t="n">
        <v>0</v>
      </c>
      <c r="H18" s="8" t="n">
        <v>0.3</v>
      </c>
      <c r="I18" s="7" t="n">
        <v>0.87</v>
      </c>
      <c r="J18" s="5" t="n">
        <v>87</v>
      </c>
      <c r="K18" s="7" t="n">
        <v>0</v>
      </c>
      <c r="L18" s="5" t="n">
        <v>0</v>
      </c>
      <c r="M18" s="8" t="n">
        <v>0.1</v>
      </c>
    </row>
    <row r="20">
      <c r="A20" s="4" t="inlineStr">
        <is>
          <t>A S</t>
        </is>
      </c>
      <c r="B20" s="4" t="inlineStr">
        <is>
          <t>K ( m ln k m )</t>
        </is>
      </c>
      <c r="C20" s="5" t="n">
        <v>4939</v>
      </c>
      <c r="D20" s="6" t="n">
        <v>4.54</v>
      </c>
      <c r="E20" s="5" t="n">
        <v>2</v>
      </c>
      <c r="F20" s="7" t="n">
        <v>0.09</v>
      </c>
      <c r="G20" s="5" t="n">
        <v>10649</v>
      </c>
      <c r="H20" s="6" t="n">
        <v>9.300000000000001</v>
      </c>
      <c r="I20" s="5" t="n">
        <v>27</v>
      </c>
      <c r="J20" s="5" t="n">
        <v>1</v>
      </c>
      <c r="K20" s="7" t="n">
        <v>0.04</v>
      </c>
    </row>
    <row r="22">
      <c r="A22" s="4" t="inlineStr">
        <is>
          <t>K o</t>
        </is>
      </c>
      <c r="B22" s="4" t="inlineStr">
        <is>
          <t>n m a b a ş ı n a</t>
        </is>
      </c>
      <c r="C22" s="4" t="inlineStr">
        <is>
          <t>M i s a</t>
        </is>
      </c>
      <c r="D22" s="4" t="inlineStr">
        <is>
          <t>f i r</t>
        </is>
      </c>
      <c r="E22" s="5" t="n">
        <v>187</v>
      </c>
      <c r="F22" s="5" t="n">
        <v>183</v>
      </c>
      <c r="G22" s="7" t="n">
        <v>0.02</v>
      </c>
      <c r="H22" s="5" t="n">
        <v>183</v>
      </c>
      <c r="I22" s="5" t="n">
        <v>17</v>
      </c>
      <c r="J22" s="5" t="n">
        <v>9</v>
      </c>
      <c r="K22" s="7" t="n">
        <v>0.02</v>
      </c>
    </row>
    <row r="24">
      <c r="A24" s="4" t="inlineStr">
        <is>
          <t>M i</t>
        </is>
      </c>
      <c r="B24" s="4" t="inlineStr">
        <is>
          <t>s a f i r s a y ı s ı ,</t>
        </is>
      </c>
      <c r="C24" s="4" t="inlineStr">
        <is>
          <t>m n</t>
        </is>
      </c>
      <c r="D24" s="6" t="n">
        <v>0.99</v>
      </c>
      <c r="E24" s="5" t="n">
        <v>1</v>
      </c>
      <c r="F24" s="5" t="n">
        <v>9</v>
      </c>
      <c r="G24" s="4" t="inlineStr">
        <is>
          <t>-</t>
        </is>
      </c>
      <c r="H24" s="7" t="n">
        <v>0.1</v>
      </c>
      <c r="I24" s="6" t="n">
        <v>2.19</v>
      </c>
      <c r="J24" s="6" t="n">
        <v>2.1</v>
      </c>
      <c r="K24" s="5" t="n">
        <v>7</v>
      </c>
      <c r="L24" s="7" t="n">
        <v>0.01</v>
      </c>
    </row>
    <row r="26">
      <c r="A26" s="4" t="inlineStr">
        <is>
          <t>K o</t>
        </is>
      </c>
      <c r="B26" s="4" t="inlineStr">
        <is>
          <t>n m a</t>
        </is>
      </c>
      <c r="C26" s="5" t="n">
        <v>5125</v>
      </c>
      <c r="D26" s="6" t="n">
        <v>5.97</v>
      </c>
      <c r="E26" s="5" t="n">
        <v>2</v>
      </c>
      <c r="F26" s="4" t="inlineStr">
        <is>
          <t>-</t>
        </is>
      </c>
      <c r="G26" s="7" t="n">
        <v>0.14</v>
      </c>
      <c r="H26" s="5" t="n">
        <v>11556</v>
      </c>
      <c r="I26" s="5" t="n">
        <v>12</v>
      </c>
      <c r="J26" s="5" t="n">
        <v>29</v>
      </c>
      <c r="K26" s="4" t="inlineStr">
        <is>
          <t>-</t>
        </is>
      </c>
      <c r="L26" s="7" t="n">
        <v>0.04</v>
      </c>
    </row>
    <row r="28">
      <c r="A28" s="4" t="inlineStr">
        <is>
          <t>K o</t>
        </is>
      </c>
      <c r="B28" s="4" t="inlineStr">
        <is>
          <t>lt u k s a y ı s ı ,</t>
        </is>
      </c>
      <c r="C28" s="4" t="inlineStr">
        <is>
          <t>m n</t>
        </is>
      </c>
      <c r="D28" s="6" t="n">
        <v>1.07</v>
      </c>
      <c r="E28" s="6" t="n">
        <v>1.2</v>
      </c>
      <c r="F28" s="5" t="n">
        <v>0</v>
      </c>
      <c r="G28" s="4" t="inlineStr">
        <is>
          <t>-</t>
        </is>
      </c>
      <c r="H28" s="7" t="n">
        <v>0.11</v>
      </c>
      <c r="I28" s="6" t="n">
        <v>2.41</v>
      </c>
      <c r="J28" s="6" t="n">
        <v>2.4</v>
      </c>
      <c r="K28" s="5" t="n">
        <v>1</v>
      </c>
      <c r="L28" s="7" t="n">
        <v>0</v>
      </c>
    </row>
    <row r="30">
      <c r="A30" s="4" t="inlineStr">
        <is>
          <t>İ ç</t>
        </is>
      </c>
      <c r="B30" s="4" t="inlineStr">
        <is>
          <t>H a t l a</t>
        </is>
      </c>
      <c r="C30" s="4" t="inlineStr">
        <is>
          <t>r</t>
        </is>
      </c>
    </row>
    <row r="31">
      <c r="A31" s="4" t="inlineStr">
        <is>
          <t>D o</t>
        </is>
      </c>
      <c r="B31" s="4" t="inlineStr">
        <is>
          <t>l u l u k O r a n ı</t>
        </is>
      </c>
      <c r="C31" s="5" t="n">
        <v>9</v>
      </c>
      <c r="D31" s="7" t="n">
        <v>0.023</v>
      </c>
      <c r="E31" s="5" t="n">
        <v>91</v>
      </c>
      <c r="F31" s="4" t="inlineStr">
        <is>
          <t>%</t>
        </is>
      </c>
      <c r="G31" s="5" t="n">
        <v>1</v>
      </c>
      <c r="H31" s="8" t="n">
        <v>0.3</v>
      </c>
      <c r="I31" s="7" t="n">
        <v>0.91</v>
      </c>
      <c r="J31" s="5" t="n">
        <v>90</v>
      </c>
      <c r="K31" s="7" t="n">
        <v>0</v>
      </c>
      <c r="L31" s="5" t="n">
        <v>1</v>
      </c>
      <c r="M31" s="8" t="n">
        <v>0.1</v>
      </c>
    </row>
    <row r="33">
      <c r="A33" s="4" t="inlineStr">
        <is>
          <t>A S</t>
        </is>
      </c>
      <c r="B33" s="4" t="inlineStr">
        <is>
          <t>K ( m ln k m )</t>
        </is>
      </c>
      <c r="C33" s="5" t="n">
        <v>801</v>
      </c>
      <c r="D33" s="5" t="n">
        <v>908</v>
      </c>
      <c r="E33" s="4" t="inlineStr">
        <is>
          <t>-</t>
        </is>
      </c>
      <c r="F33" s="7" t="n">
        <v>0.12</v>
      </c>
      <c r="G33" s="5" t="n">
        <v>1823</v>
      </c>
      <c r="H33" s="6" t="n">
        <v>1.8</v>
      </c>
      <c r="I33" s="5" t="n">
        <v>24</v>
      </c>
      <c r="J33" s="7" t="n">
        <v>0</v>
      </c>
    </row>
    <row r="35">
      <c r="A35" s="4" t="inlineStr">
        <is>
          <t>K o</t>
        </is>
      </c>
      <c r="B35" s="4" t="inlineStr">
        <is>
          <t>n m a b a ş ı n a</t>
        </is>
      </c>
      <c r="C35" s="4" t="inlineStr">
        <is>
          <t>M i s a</t>
        </is>
      </c>
      <c r="D35" s="4" t="inlineStr">
        <is>
          <t>f i r</t>
        </is>
      </c>
      <c r="E35" s="5" t="n">
        <v>192</v>
      </c>
      <c r="F35" s="5" t="n">
        <v>183</v>
      </c>
      <c r="G35" s="7" t="n">
        <v>0.05</v>
      </c>
      <c r="H35" s="5" t="n">
        <v>190</v>
      </c>
      <c r="I35" s="5" t="n">
        <v>18</v>
      </c>
      <c r="J35" s="5" t="n">
        <v>0</v>
      </c>
      <c r="K35" s="7" t="n">
        <v>0.05</v>
      </c>
    </row>
    <row r="37">
      <c r="A37" s="4" t="inlineStr">
        <is>
          <t>M i</t>
        </is>
      </c>
      <c r="B37" s="4" t="inlineStr">
        <is>
          <t>s a f i r s a y ı s ı ,</t>
        </is>
      </c>
      <c r="C37" s="4" t="inlineStr">
        <is>
          <t>m n</t>
        </is>
      </c>
      <c r="D37" s="6" t="n">
        <v>1.84</v>
      </c>
      <c r="E37" s="6" t="n">
        <v>1.5</v>
      </c>
      <c r="F37" s="5" t="n">
        <v>8</v>
      </c>
      <c r="G37" s="5" t="n">
        <v>1</v>
      </c>
      <c r="H37" s="7" t="n">
        <v>0.06</v>
      </c>
      <c r="I37" s="6" t="n">
        <v>3.83</v>
      </c>
      <c r="J37" s="6" t="n">
        <v>3.1</v>
      </c>
      <c r="K37" s="5" t="n">
        <v>7</v>
      </c>
      <c r="L37" s="5" t="n">
        <v>2</v>
      </c>
      <c r="M37" s="7" t="n">
        <v>0.01</v>
      </c>
    </row>
    <row r="39">
      <c r="A39" s="4" t="inlineStr">
        <is>
          <t>K o</t>
        </is>
      </c>
      <c r="B39" s="4" t="inlineStr">
        <is>
          <t>n m a</t>
        </is>
      </c>
      <c r="C39" s="5" t="n">
        <v>9994</v>
      </c>
      <c r="D39" s="6" t="n">
        <v>8.68</v>
      </c>
      <c r="E39" s="5" t="n">
        <v>6</v>
      </c>
      <c r="F39" s="5" t="n">
        <v>1</v>
      </c>
      <c r="G39" s="7" t="n">
        <v>0.05</v>
      </c>
      <c r="H39" s="5" t="n">
        <v>21416</v>
      </c>
      <c r="I39" s="6" t="n">
        <v>17.8</v>
      </c>
      <c r="J39" s="5" t="n">
        <v>67</v>
      </c>
      <c r="K39" s="5" t="n">
        <v>2</v>
      </c>
      <c r="L39" s="7" t="n">
        <v>0</v>
      </c>
    </row>
    <row r="41">
      <c r="A41" s="4" t="inlineStr">
        <is>
          <t>K o</t>
        </is>
      </c>
      <c r="B41" s="4" t="inlineStr">
        <is>
          <t>lt u k s a y ı s ı ,</t>
        </is>
      </c>
      <c r="C41" s="4" t="inlineStr">
        <is>
          <t>m n</t>
        </is>
      </c>
      <c r="D41" s="6" t="n">
        <v>2.11</v>
      </c>
      <c r="E41" s="6" t="n">
        <v>1.8</v>
      </c>
      <c r="F41" s="5" t="n">
        <v>1</v>
      </c>
      <c r="G41" s="5" t="n">
        <v>1</v>
      </c>
      <c r="H41" s="7" t="n">
        <v>0.06</v>
      </c>
      <c r="I41" s="6" t="n">
        <v>4.51</v>
      </c>
      <c r="J41" s="6" t="n">
        <v>3.7</v>
      </c>
      <c r="K41" s="5" t="n">
        <v>3</v>
      </c>
      <c r="L41" s="5" t="n">
        <v>2</v>
      </c>
      <c r="M41" s="7" t="n">
        <v>0.01</v>
      </c>
    </row>
    <row r="43">
      <c r="A43" s="4" t="inlineStr">
        <is>
          <t>D ı</t>
        </is>
      </c>
      <c r="B43" s="4" t="inlineStr">
        <is>
          <t>ş H a t l</t>
        </is>
      </c>
      <c r="C43" s="4" t="inlineStr">
        <is>
          <t>a r *</t>
        </is>
      </c>
    </row>
    <row r="44">
      <c r="A44" s="4" t="inlineStr">
        <is>
          <t>D o</t>
        </is>
      </c>
      <c r="B44" s="4" t="inlineStr">
        <is>
          <t>l u l u k O r a n ı</t>
        </is>
      </c>
      <c r="C44" s="5" t="n">
        <v>8</v>
      </c>
      <c r="D44" s="7" t="n">
        <v>0.075</v>
      </c>
      <c r="E44" s="6" t="n">
        <v>87.3</v>
      </c>
      <c r="F44" s="4" t="inlineStr">
        <is>
          <t>%</t>
        </is>
      </c>
      <c r="G44" s="5" t="n">
        <v>0</v>
      </c>
      <c r="H44" s="8" t="n">
        <v>0.1</v>
      </c>
      <c r="I44" s="7" t="n">
        <v>0.8490000000000001</v>
      </c>
      <c r="J44" s="5" t="n">
        <v>85</v>
      </c>
      <c r="K44" s="7" t="n">
        <v>0</v>
      </c>
      <c r="L44" s="5" t="n">
        <v>0</v>
      </c>
      <c r="M44" s="8" t="n">
        <v>0.1</v>
      </c>
    </row>
    <row r="46">
      <c r="A46" s="4" t="inlineStr">
        <is>
          <t>A S</t>
        </is>
      </c>
      <c r="B46" s="4" t="inlineStr">
        <is>
          <t>K ( m ln k m )</t>
        </is>
      </c>
      <c r="C46" s="5" t="n">
        <v>4138</v>
      </c>
      <c r="D46" s="6" t="n">
        <v>3.63</v>
      </c>
      <c r="E46" s="5" t="n">
        <v>4</v>
      </c>
      <c r="F46" s="5" t="n">
        <v>1</v>
      </c>
      <c r="G46" s="7" t="n">
        <v>0.04</v>
      </c>
      <c r="H46" s="5" t="n">
        <v>8827</v>
      </c>
      <c r="I46" s="6" t="n">
        <v>7.5</v>
      </c>
      <c r="J46" s="5" t="n">
        <v>3</v>
      </c>
      <c r="K46" s="5" t="n">
        <v>1</v>
      </c>
      <c r="L46" s="7" t="n">
        <v>0.08</v>
      </c>
    </row>
    <row r="48">
      <c r="A48" s="4" t="inlineStr">
        <is>
          <t>K o</t>
        </is>
      </c>
      <c r="B48" s="4" t="inlineStr">
        <is>
          <t>n m a b a ş ı n a</t>
        </is>
      </c>
      <c r="C48" s="4" t="inlineStr">
        <is>
          <t>M i s a</t>
        </is>
      </c>
      <c r="D48" s="4" t="inlineStr">
        <is>
          <t>f i r</t>
        </is>
      </c>
      <c r="E48" s="5" t="n">
        <v>184</v>
      </c>
      <c r="F48" s="5" t="n">
        <v>182</v>
      </c>
      <c r="G48" s="7" t="n">
        <v>0.01</v>
      </c>
      <c r="H48" s="5" t="n">
        <v>179</v>
      </c>
      <c r="I48" s="5" t="n">
        <v>17</v>
      </c>
      <c r="J48" s="5" t="n">
        <v>8</v>
      </c>
      <c r="K48" s="7" t="n">
        <v>0.01</v>
      </c>
    </row>
    <row r="50">
      <c r="A50" s="4" t="inlineStr">
        <is>
          <t>* C</t>
        </is>
      </c>
      <c r="B50" s="4" t="inlineStr">
        <is>
          <t>h a r t e r</t>
        </is>
      </c>
      <c r="C50" s="4" t="inlineStr">
        <is>
          <t>d a h il</t>
        </is>
      </c>
    </row>
    <row r="52">
      <c r="A52" s="4" t="inlineStr">
        <is>
          <t>K a</t>
        </is>
      </c>
      <c r="B52" s="4" t="inlineStr">
        <is>
          <t>r b o n</t>
        </is>
      </c>
      <c r="C52" s="4" t="inlineStr">
        <is>
          <t>E m i s y</t>
        </is>
      </c>
      <c r="D52" s="4" t="inlineStr">
        <is>
          <t>o n</t>
        </is>
      </c>
      <c r="E52" s="4" t="inlineStr">
        <is>
          <t>u İ s t a t i s t i k l e</t>
        </is>
      </c>
      <c r="F52" s="4" t="inlineStr">
        <is>
          <t>r i</t>
        </is>
      </c>
    </row>
    <row r="54">
      <c r="A54" s="4" t="inlineStr">
        <is>
          <t>A</t>
        </is>
      </c>
      <c r="B54" s="4" t="inlineStr">
        <is>
          <t>Y L I K</t>
        </is>
      </c>
      <c r="C54" s="5" t="n">
        <v>202</v>
      </c>
      <c r="D54" s="5" t="n">
        <v>5</v>
      </c>
      <c r="E54" s="5" t="n">
        <v>2</v>
      </c>
      <c r="F54" s="5" t="n">
        <v>24</v>
      </c>
      <c r="G54" s="4" t="inlineStr">
        <is>
          <t>K Ü M Ü L A T İ F</t>
        </is>
      </c>
      <c r="H54" s="5" t="n">
        <v>202</v>
      </c>
      <c r="I54" s="5" t="n">
        <v>5</v>
      </c>
      <c r="J54" s="5" t="n">
        <v>2</v>
      </c>
      <c r="K54" s="5" t="n">
        <v>24</v>
      </c>
    </row>
    <row r="56">
      <c r="A56" s="4" t="inlineStr">
        <is>
          <t>C O</t>
        </is>
      </c>
      <c r="B56" s="4" t="inlineStr">
        <is>
          <t>2 g r a</t>
        </is>
      </c>
      <c r="C56" s="4" t="inlineStr">
        <is>
          <t>m / R P K</t>
        </is>
      </c>
      <c r="D56" s="4" t="inlineStr">
        <is>
          <t>O c a k</t>
        </is>
      </c>
      <c r="E56" s="5" t="n">
        <v>58</v>
      </c>
      <c r="F56" s="5" t="n">
        <v>2</v>
      </c>
      <c r="G56" s="5" t="n">
        <v>6</v>
      </c>
      <c r="H56" s="6" t="n">
        <v>0.2</v>
      </c>
      <c r="I56" s="4" t="inlineStr">
        <is>
          <t>1 A</t>
        </is>
      </c>
      <c r="J56" s="5" t="n">
        <v>58</v>
      </c>
      <c r="K56" s="5" t="n">
        <v>2</v>
      </c>
      <c r="L56" s="5" t="n">
        <v>6</v>
      </c>
      <c r="M56" s="6" t="n">
        <v>0.2</v>
      </c>
    </row>
    <row r="58">
      <c r="A58" s="4" t="inlineStr">
        <is>
          <t>Ş</t>
        </is>
      </c>
      <c r="B58" s="4" t="inlineStr">
        <is>
          <t>u b a t</t>
        </is>
      </c>
      <c r="C58" s="5" t="n">
        <v>55</v>
      </c>
      <c r="D58" s="5" t="n">
        <v>5</v>
      </c>
      <c r="E58" s="5" t="n">
        <v>5</v>
      </c>
      <c r="F58" s="6" t="n">
        <v>7.2</v>
      </c>
      <c r="G58" s="4" t="inlineStr">
        <is>
          <t>2 A</t>
        </is>
      </c>
      <c r="H58" s="5" t="n">
        <v>56</v>
      </c>
      <c r="I58" s="5" t="n">
        <v>9</v>
      </c>
      <c r="J58" s="5" t="n">
        <v>5</v>
      </c>
      <c r="K58" s="6" t="n">
        <v>8.699999999999999</v>
      </c>
    </row>
    <row r="60">
      <c r="A60" s="4" t="inlineStr">
        <is>
          <t>Y I L</t>
        </is>
      </c>
      <c r="B60" s="4" t="inlineStr">
        <is>
          <t>L I K</t>
        </is>
      </c>
      <c r="C60" s="5" t="n">
        <v>2019</v>
      </c>
      <c r="D60" s="5" t="n">
        <v>202</v>
      </c>
      <c r="E60" s="5" t="n">
        <v>0</v>
      </c>
      <c r="F60" s="5" t="n">
        <v>2</v>
      </c>
      <c r="G60" s="5" t="n">
        <v>21</v>
      </c>
      <c r="H60" s="5" t="n">
        <v>2022</v>
      </c>
      <c r="I60" s="5" t="n">
        <v>202</v>
      </c>
      <c r="J60" s="5" t="n">
        <v>3</v>
      </c>
      <c r="K60" s="5" t="n">
        <v>2</v>
      </c>
      <c r="L60" s="5" t="n">
        <v>24</v>
      </c>
    </row>
    <row r="62">
      <c r="A62" s="4" t="inlineStr">
        <is>
          <t>C O</t>
        </is>
      </c>
      <c r="B62" s="4" t="inlineStr">
        <is>
          <t>2 g r a</t>
        </is>
      </c>
      <c r="C62" s="4" t="inlineStr">
        <is>
          <t>m / R P K</t>
        </is>
      </c>
      <c r="D62" s="6" t="n">
        <v>65.09999999999999</v>
      </c>
      <c r="E62" s="5" t="n">
        <v>71</v>
      </c>
      <c r="F62" s="5" t="n">
        <v>3</v>
      </c>
      <c r="G62" s="5" t="n">
        <v>7</v>
      </c>
      <c r="H62" s="5" t="n">
        <v>1</v>
      </c>
      <c r="I62" s="6" t="n">
        <v>62.1</v>
      </c>
      <c r="J62" s="5" t="n">
        <v>61</v>
      </c>
      <c r="K62" s="5" t="n">
        <v>3</v>
      </c>
      <c r="L62" s="5" t="n">
        <v>5</v>
      </c>
      <c r="M62" s="6" t="n">
        <v>8.300000000000001</v>
      </c>
    </row>
    <row r="64">
      <c r="A64" s="3" t="inlineStr">
        <is>
          <t>Karb</t>
        </is>
      </c>
      <c r="B64" s="3" t="inlineStr">
        <is>
          <t>on Emi</t>
        </is>
      </c>
      <c r="C64" s="3" t="inlineStr">
        <is>
          <t>syonu İst</t>
        </is>
      </c>
      <c r="D64" s="3" t="inlineStr">
        <is>
          <t>atist</t>
        </is>
      </c>
      <c r="E64" s="3" t="inlineStr">
        <is>
          <t>iklerinde (grCO2</t>
        </is>
      </c>
      <c r="F64" s="3" t="inlineStr">
        <is>
          <t>/RPK)</t>
        </is>
      </c>
      <c r="G64" s="3" t="inlineStr">
        <is>
          <t>jet yakıtı emisyon</t>
        </is>
      </c>
      <c r="H64" s="3" t="inlineStr">
        <is>
          <t>katsayısı baz yıl v</t>
        </is>
      </c>
      <c r="I64" s="3" t="inlineStr">
        <is>
          <t>e tüm</t>
        </is>
      </c>
      <c r="J64" s="3" t="inlineStr">
        <is>
          <t>raporlanan d</t>
        </is>
      </c>
      <c r="K64" s="3" t="inlineStr">
        <is>
          <t>ön</t>
        </is>
      </c>
      <c r="L64" s="3" t="inlineStr">
        <is>
          <t>emler için 3</t>
        </is>
      </c>
      <c r="M64" s="3" t="inlineStr">
        <is>
          <t>,16 olarak kullanılmıştır.</t>
        </is>
      </c>
      <c r="N64" s="3" t="inlineStr">
        <is>
          <t>2024</t>
        </is>
      </c>
      <c r="O64" s="3" t="inlineStr">
        <is>
          <t>Ocak ayı itibari</t>
        </is>
      </c>
      <c r="P64" s="3" t="inlineStr">
        <is>
          <t>yle</t>
        </is>
      </c>
      <c r="Q64" s="3" t="inlineStr">
        <is>
          <t>3,16</t>
        </is>
      </c>
    </row>
    <row r="65">
      <c r="A65" s="4" t="inlineStr">
        <is>
          <t>emis</t>
        </is>
      </c>
      <c r="B65" s="4" t="inlineStr">
        <is>
          <t>yon fak</t>
        </is>
      </c>
      <c r="C65" s="4" t="inlineStr">
        <is>
          <t>törüne ge</t>
        </is>
      </c>
      <c r="D65" s="4" t="inlineStr">
        <is>
          <t>çiş</t>
        </is>
      </c>
      <c r="E65" s="4" t="inlineStr">
        <is>
          <t>gerçekleştirilmiş</t>
        </is>
      </c>
      <c r="F65" s="4" t="inlineStr">
        <is>
          <t>ve bu</t>
        </is>
      </c>
      <c r="G65" s="4" t="inlineStr">
        <is>
          <t>değere göre geçm</t>
        </is>
      </c>
      <c r="H65" s="4" t="inlineStr">
        <is>
          <t>iş yıllara ait aylık</t>
        </is>
      </c>
      <c r="I65" s="4" t="inlineStr">
        <is>
          <t>emisy</t>
        </is>
      </c>
      <c r="J65" s="4" t="inlineStr">
        <is>
          <t>on değerleri g</t>
        </is>
      </c>
      <c r="K65" s="4" t="inlineStr">
        <is>
          <t>ün</t>
        </is>
      </c>
      <c r="L65" s="4" t="inlineStr">
        <is>
          <t>cellenerek</t>
        </is>
      </c>
      <c r="M65" s="4" t="inlineStr">
        <is>
          <t>paylaşılmıştır.</t>
        </is>
      </c>
    </row>
    <row r="67">
      <c r="A67" s="4" t="inlineStr">
        <is>
          <t>Arz</t>
        </is>
      </c>
      <c r="B67" s="4" t="inlineStr">
        <is>
          <t>edilen</t>
        </is>
      </c>
      <c r="C67" s="4" t="inlineStr">
        <is>
          <t>Koltuk K</t>
        </is>
      </c>
      <c r="D67" s="4" t="inlineStr">
        <is>
          <t>ilo</t>
        </is>
      </c>
      <c r="E67" s="4" t="inlineStr">
        <is>
          <t>metre (ASK) =</t>
        </is>
      </c>
      <c r="F67" s="4" t="inlineStr">
        <is>
          <t>Uçuş</t>
        </is>
      </c>
      <c r="G67" s="4" t="inlineStr">
        <is>
          <t>a arz edilen kolt</t>
        </is>
      </c>
      <c r="H67" s="4" t="inlineStr">
        <is>
          <t>uk sayısı x Orta</t>
        </is>
      </c>
      <c r="I67" s="4" t="inlineStr">
        <is>
          <t>lama</t>
        </is>
      </c>
      <c r="J67" s="4" t="inlineStr">
        <is>
          <t>Uçuş Mesa</t>
        </is>
      </c>
      <c r="K67" s="4" t="inlineStr">
        <is>
          <t>fe</t>
        </is>
      </c>
      <c r="L67" s="4" t="inlineStr">
        <is>
          <t>si</t>
        </is>
      </c>
    </row>
    <row r="69">
      <c r="A69" s="4" t="inlineStr">
        <is>
          <t>Dol</t>
        </is>
      </c>
      <c r="B69" s="4" t="inlineStr">
        <is>
          <t>uluk O</t>
        </is>
      </c>
      <c r="C69" s="4" t="inlineStr">
        <is>
          <t>ranı = Bi</t>
        </is>
      </c>
      <c r="D69" s="4" t="inlineStr">
        <is>
          <t>letl</t>
        </is>
      </c>
      <c r="E69" s="4" t="inlineStr">
        <is>
          <t>enmiş misafir</t>
        </is>
      </c>
      <c r="F69" s="4" t="inlineStr">
        <is>
          <t>sayısı</t>
        </is>
      </c>
      <c r="G69" s="4" t="inlineStr">
        <is>
          <t>/ Toplam koltu</t>
        </is>
      </c>
      <c r="H69" s="4" t="inlineStr">
        <is>
          <t>k sayısı</t>
        </is>
      </c>
    </row>
    <row r="71">
      <c r="A71" s="4" t="inlineStr">
        <is>
          <t>RPK</t>
        </is>
      </c>
      <c r="B71" s="4" t="inlineStr">
        <is>
          <t>(Reve</t>
        </is>
      </c>
      <c r="C71" s="4" t="inlineStr">
        <is>
          <t>nue Pas</t>
        </is>
      </c>
      <c r="D71" s="4" t="inlineStr">
        <is>
          <t>sen</t>
        </is>
      </c>
      <c r="E71" s="4" t="inlineStr">
        <is>
          <t>ger Kilometer)</t>
        </is>
      </c>
      <c r="F71" s="4" t="inlineStr">
        <is>
          <t>: Ücr</t>
        </is>
      </c>
      <c r="G71" s="4" t="inlineStr">
        <is>
          <t>etli Yolcu Kilome</t>
        </is>
      </c>
      <c r="H71" s="4" t="inlineStr">
        <is>
          <t>tre</t>
        </is>
      </c>
    </row>
    <row r="73">
      <c r="A73" s="4" t="inlineStr">
        <is>
          <t>Genel (P</t>
        </is>
      </c>
      <c r="B73" s="4" t="inlineStr">
        <is>
          <t>ublic)</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9" customWidth="1" min="1" max="1"/>
    <col width="29" customWidth="1" min="2" max="2"/>
    <col width="19" customWidth="1" min="3" max="3"/>
    <col width="19" customWidth="1" min="4" max="4"/>
  </cols>
  <sheetData>
    <row r="1">
      <c r="A1" s="4" t="inlineStr">
        <is>
          <t>AYLIK</t>
        </is>
      </c>
      <c r="B1" s="4" t="inlineStr">
        <is>
          <t>KÜMÜLATİF</t>
        </is>
      </c>
    </row>
    <row r="2">
      <c r="A2" s="3" t="inlineStr">
        <is>
          <t>Mart Mart '25/'24</t>
        </is>
      </c>
      <c r="B2" s="3" t="inlineStr">
        <is>
          <t>Oca.-Mar. Oca.-Mar. '25/'24</t>
        </is>
      </c>
    </row>
    <row r="3">
      <c r="A3" s="3" t="inlineStr">
        <is>
          <t>2025 2024 % Değ.</t>
        </is>
      </c>
      <c r="B3" s="3" t="inlineStr">
        <is>
          <t>2025 2024 % Değ.</t>
        </is>
      </c>
    </row>
    <row r="4">
      <c r="A4" s="4" t="inlineStr">
        <is>
          <t>Toplam</t>
        </is>
      </c>
      <c r="B4" s="4" t="inlineStr">
        <is>
          <t>Misafir sayısı, mn
Konma
Koltuk sayısı, mn
Doluluk Oranı
ASK (mln km)
Konma başına Misafir</t>
        </is>
      </c>
      <c r="C4" s="4" t="inlineStr">
        <is>
          <t>3.01 2.72 10%
16,884 15,165 11%
3.57 3.11 15%
84.3% 87.6% -3.3p
5,468 4,850 13%
178 180 -1%</t>
        </is>
      </c>
      <c r="D4" s="4" t="inlineStr">
        <is>
          <t>9.02 8.06 12%
49,856 45,061 11%
10.48 9.25 13%
86.1% 87.2% -1.1p
16,117 14,177 14%
181 179 1%</t>
        </is>
      </c>
    </row>
    <row r="5">
      <c r="A5" s="4" t="inlineStr">
        <is>
          <t>İç Hatlar</t>
        </is>
      </c>
      <c r="B5" s="4" t="inlineStr">
        <is>
          <t>Misafir sayısı, mn
Konma
Koltuk sayısı, mn
Doluluk Oranı
ASK (mln km)
Konma başına Misafir</t>
        </is>
      </c>
      <c r="C5" s="4" t="inlineStr">
        <is>
          <t>1.11 1.01 10%
6,088 5,545 10%
1.28 1.11 15%
86.9% 90.7% -3.8p
971 851 14%
182 182 0%</t>
        </is>
      </c>
      <c r="D5" s="4" t="inlineStr">
        <is>
          <t>3.30 3.18 4%
17,644 17,574 0%
3.69 3.52 5%
89.6% 90.2% -0.6p
2,794 2,676 4%
187 181 4%</t>
        </is>
      </c>
    </row>
    <row r="6">
      <c r="A6" s="4" t="inlineStr">
        <is>
          <t>Dış Hatlar*</t>
        </is>
      </c>
      <c r="B6" s="4" t="inlineStr">
        <is>
          <t>Misafir sayısı, mn
Konma
Koltuk sayısı, mn
Doluluk Oranı
ASK (mln km)
Konma başına Misafir</t>
        </is>
      </c>
      <c r="C6" s="4" t="inlineStr">
        <is>
          <t>1.90 1.71 11%
10,796 9,620 12%
2.29 2.00 15%
82.9% 85.8% -3.0p
4,497 3,998 12%
176 178 -1%</t>
        </is>
      </c>
      <c r="D6" s="4" t="inlineStr">
        <is>
          <t>5.72 4.89 17%
32,212 27,487 17%
6.80 5.73 19%
84.2% 85.3% -1.1p
13,324 11,501 16%
178 178 0%</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76"/>
  <sheetViews>
    <sheetView workbookViewId="0">
      <selection activeCell="A1" sqref="A1"/>
    </sheetView>
  </sheetViews>
  <sheetFormatPr baseColWidth="8" defaultRowHeight="15"/>
  <cols>
    <col width="12" customWidth="1" min="1" max="1"/>
    <col width="13" customWidth="1" min="2" max="2"/>
    <col width="14" customWidth="1" min="3" max="3"/>
    <col width="15" customWidth="1" min="4" max="4"/>
    <col width="12" customWidth="1" min="5" max="5"/>
    <col width="17" customWidth="1" min="6" max="6"/>
    <col width="12" customWidth="1" min="7" max="7"/>
    <col width="12" customWidth="1" min="8" max="8"/>
    <col width="20" customWidth="1" min="9" max="9"/>
    <col width="21" customWidth="1" min="10" max="10"/>
    <col width="12" customWidth="1" min="11" max="11"/>
    <col width="12" customWidth="1" min="12" max="12"/>
    <col width="12" customWidth="1" min="13" max="13"/>
    <col width="12" customWidth="1" min="14" max="14"/>
    <col width="17" customWidth="1" min="15" max="15"/>
    <col width="12" customWidth="1" min="16" max="16"/>
    <col width="14" customWidth="1" min="17" max="17"/>
    <col width="12" customWidth="1" min="18" max="18"/>
    <col width="12" customWidth="1" min="19" max="19"/>
  </cols>
  <sheetData>
    <row r="1">
      <c r="A1" s="4" t="inlineStr">
        <is>
          <t>P E</t>
        </is>
      </c>
      <c r="B1" s="4" t="inlineStr">
        <is>
          <t>G A S U</t>
        </is>
      </c>
      <c r="C1" s="4" t="inlineStr">
        <is>
          <t>S H A V A</t>
        </is>
      </c>
      <c r="D1" s="4" t="inlineStr">
        <is>
          <t>T A</t>
        </is>
      </c>
      <c r="E1" s="4" t="inlineStr">
        <is>
          <t>Ş I M</t>
        </is>
      </c>
      <c r="F1" s="4" t="inlineStr">
        <is>
          <t>A C I L I Ğ</t>
        </is>
      </c>
      <c r="G1" s="4" t="inlineStr">
        <is>
          <t>I A</t>
        </is>
      </c>
      <c r="H1" s="4" t="inlineStr">
        <is>
          <t>. Ş</t>
        </is>
      </c>
      <c r="I1" s="4" t="inlineStr">
        <is>
          <t>.</t>
        </is>
      </c>
    </row>
    <row r="3">
      <c r="A3" s="4" t="inlineStr">
        <is>
          <t>N İ</t>
        </is>
      </c>
      <c r="B3" s="4" t="inlineStr">
        <is>
          <t>S A N 2</t>
        </is>
      </c>
      <c r="C3" s="4" t="inlineStr">
        <is>
          <t>0 2 5 T R A</t>
        </is>
      </c>
      <c r="D3" s="4" t="inlineStr">
        <is>
          <t>F İ K</t>
        </is>
      </c>
      <c r="E3" s="4" t="inlineStr">
        <is>
          <t>S O</t>
        </is>
      </c>
      <c r="F3" s="4" t="inlineStr">
        <is>
          <t>N U Ç L A</t>
        </is>
      </c>
      <c r="G3" s="4" t="inlineStr">
        <is>
          <t>R I</t>
        </is>
      </c>
    </row>
    <row r="5">
      <c r="A5" s="4" t="inlineStr">
        <is>
          <t>A</t>
        </is>
      </c>
      <c r="B5" s="4" t="inlineStr">
        <is>
          <t>Y L I K</t>
        </is>
      </c>
      <c r="C5" s="4" t="inlineStr">
        <is>
          <t>K Ü</t>
        </is>
      </c>
      <c r="D5" s="4" t="inlineStr">
        <is>
          <t>M Ü</t>
        </is>
      </c>
      <c r="E5" s="4" t="inlineStr">
        <is>
          <t>L A T İ F</t>
        </is>
      </c>
    </row>
    <row r="7">
      <c r="A7" s="4" t="inlineStr">
        <is>
          <t>N i s a n</t>
        </is>
      </c>
      <c r="B7" s="4" t="inlineStr">
        <is>
          <t>N</t>
        </is>
      </c>
      <c r="C7" s="4" t="inlineStr">
        <is>
          <t>i s a n</t>
        </is>
      </c>
      <c r="D7" s="4" t="inlineStr">
        <is>
          <t>' 2</t>
        </is>
      </c>
      <c r="E7" s="4" t="inlineStr">
        <is>
          <t>5 / '</t>
        </is>
      </c>
      <c r="F7" s="4" t="inlineStr">
        <is>
          <t>2 4 O</t>
        </is>
      </c>
      <c r="G7" s="4" t="inlineStr">
        <is>
          <t>c a . -</t>
        </is>
      </c>
      <c r="H7" s="4" t="inlineStr">
        <is>
          <t>N i s . O</t>
        </is>
      </c>
      <c r="I7" s="4" t="inlineStr">
        <is>
          <t>c a . -</t>
        </is>
      </c>
      <c r="J7" s="4" t="inlineStr">
        <is>
          <t>N i s . ' 2</t>
        </is>
      </c>
      <c r="K7" s="4" t="inlineStr">
        <is>
          <t>5 /</t>
        </is>
      </c>
      <c r="L7" s="4" t="inlineStr">
        <is>
          <t>' 2</t>
        </is>
      </c>
    </row>
    <row r="9">
      <c r="A9" s="4" t="inlineStr">
        <is>
          <t>2 0 2 5</t>
        </is>
      </c>
      <c r="B9" s="5" t="n">
        <v>2</v>
      </c>
      <c r="C9" s="5" t="n">
        <v>24</v>
      </c>
      <c r="D9" s="4" t="inlineStr">
        <is>
          <t>%</t>
        </is>
      </c>
      <c r="E9" s="4" t="inlineStr">
        <is>
          <t>D e</t>
        </is>
      </c>
      <c r="F9" s="4" t="inlineStr">
        <is>
          <t>ğ .</t>
        </is>
      </c>
      <c r="G9" s="5" t="n">
        <v>202</v>
      </c>
      <c r="H9" s="5" t="n">
        <v>5</v>
      </c>
      <c r="I9" s="5" t="n">
        <v>202</v>
      </c>
      <c r="J9" s="7" t="n">
        <v>0.04</v>
      </c>
      <c r="K9" s="4" t="inlineStr">
        <is>
          <t>D</t>
        </is>
      </c>
      <c r="L9" s="4" t="inlineStr">
        <is>
          <t>e ğ</t>
        </is>
      </c>
    </row>
    <row r="11">
      <c r="A11" s="4" t="inlineStr">
        <is>
          <t>M</t>
        </is>
      </c>
      <c r="B11" s="4" t="inlineStr">
        <is>
          <t>i s</t>
        </is>
      </c>
      <c r="C11" s="4" t="inlineStr">
        <is>
          <t>a f i r</t>
        </is>
      </c>
      <c r="D11" s="4" t="inlineStr">
        <is>
          <t>s a y ı s ı ,</t>
        </is>
      </c>
      <c r="E11" s="4" t="inlineStr">
        <is>
          <t>m</t>
        </is>
      </c>
      <c r="F11" s="4" t="inlineStr">
        <is>
          <t>n</t>
        </is>
      </c>
      <c r="G11" s="6" t="n">
        <v>3.45</v>
      </c>
      <c r="H11" s="5" t="n">
        <v>2</v>
      </c>
      <c r="I11" s="6" t="n">
        <v>0.92</v>
      </c>
      <c r="J11" s="5" t="n">
        <v>1</v>
      </c>
      <c r="K11" s="5" t="n">
        <v>8</v>
      </c>
      <c r="L11" s="4" t="inlineStr">
        <is>
          <t>%</t>
        </is>
      </c>
      <c r="M11" s="5" t="n">
        <v>12</v>
      </c>
      <c r="N11" s="5" t="n">
        <v>48</v>
      </c>
      <c r="O11" s="5" t="n">
        <v>10</v>
      </c>
      <c r="P11" s="5" t="n">
        <v>99</v>
      </c>
      <c r="Q11" s="5" t="n">
        <v>14</v>
      </c>
      <c r="R11" s="4" t="inlineStr">
        <is>
          <t>%</t>
        </is>
      </c>
    </row>
    <row r="13">
      <c r="A13" s="4" t="inlineStr">
        <is>
          <t>K</t>
        </is>
      </c>
      <c r="B13" s="4" t="inlineStr">
        <is>
          <t>o n</t>
        </is>
      </c>
      <c r="C13" s="4" t="inlineStr">
        <is>
          <t>m a</t>
        </is>
      </c>
      <c r="D13" s="5" t="n">
        <v>18911</v>
      </c>
      <c r="E13" s="5" t="n">
        <v>16</v>
      </c>
      <c r="F13" s="6" t="n">
        <v>0.077</v>
      </c>
      <c r="G13" s="5" t="n">
        <v>1</v>
      </c>
      <c r="H13" s="5" t="n">
        <v>8</v>
      </c>
      <c r="I13" s="4" t="inlineStr">
        <is>
          <t>%</t>
        </is>
      </c>
      <c r="J13" s="6" t="n">
        <v>68.7</v>
      </c>
      <c r="K13" s="5" t="n">
        <v>67</v>
      </c>
      <c r="L13" s="6" t="n">
        <v>61.1</v>
      </c>
      <c r="M13" s="5" t="n">
        <v>38</v>
      </c>
      <c r="N13" s="5" t="n">
        <v>12</v>
      </c>
      <c r="O13" s="4" t="inlineStr">
        <is>
          <t>%</t>
        </is>
      </c>
    </row>
    <row r="15">
      <c r="A15" s="4" t="inlineStr">
        <is>
          <t>K</t>
        </is>
      </c>
      <c r="B15" s="4" t="inlineStr">
        <is>
          <t>o lt</t>
        </is>
      </c>
      <c r="C15" s="4" t="inlineStr">
        <is>
          <t>u k s</t>
        </is>
      </c>
      <c r="D15" s="4" t="inlineStr">
        <is>
          <t>a y ı s ı ,</t>
        </is>
      </c>
      <c r="E15" s="4" t="inlineStr">
        <is>
          <t>m n</t>
        </is>
      </c>
      <c r="F15" s="6" t="n">
        <v>3.98</v>
      </c>
      <c r="G15" s="5" t="n">
        <v>3</v>
      </c>
      <c r="H15" s="6" t="n">
        <v>0.31</v>
      </c>
      <c r="I15" s="5" t="n">
        <v>2</v>
      </c>
      <c r="J15" s="5" t="n">
        <v>0</v>
      </c>
      <c r="K15" s="4" t="inlineStr">
        <is>
          <t>%</t>
        </is>
      </c>
      <c r="L15" s="5" t="n">
        <v>14</v>
      </c>
      <c r="M15" s="5" t="n">
        <v>46</v>
      </c>
      <c r="N15" s="5" t="n">
        <v>12</v>
      </c>
      <c r="O15" s="5" t="n">
        <v>56</v>
      </c>
      <c r="P15" s="5" t="n">
        <v>15</v>
      </c>
      <c r="Q15" s="4" t="inlineStr">
        <is>
          <t>%</t>
        </is>
      </c>
    </row>
    <row r="17">
      <c r="A17" s="4" t="inlineStr">
        <is>
          <t>T o</t>
        </is>
      </c>
      <c r="B17" s="4" t="inlineStr">
        <is>
          <t>p l a m</t>
        </is>
      </c>
    </row>
    <row r="18">
      <c r="A18" s="4" t="inlineStr">
        <is>
          <t>D</t>
        </is>
      </c>
      <c r="B18" s="4" t="inlineStr">
        <is>
          <t>o l</t>
        </is>
      </c>
      <c r="C18" s="4" t="inlineStr">
        <is>
          <t>u l u k</t>
        </is>
      </c>
      <c r="D18" s="4" t="inlineStr">
        <is>
          <t>O r a n ı</t>
        </is>
      </c>
      <c r="E18" s="7" t="n">
        <v>0.868</v>
      </c>
      <c r="F18" s="5" t="n">
        <v>88</v>
      </c>
      <c r="G18" s="7" t="n">
        <v>0.003</v>
      </c>
      <c r="H18" s="4" t="inlineStr">
        <is>
          <t>-</t>
        </is>
      </c>
      <c r="I18" s="6" t="n">
        <v>1.5</v>
      </c>
      <c r="J18" s="4" t="inlineStr">
        <is>
          <t>p</t>
        </is>
      </c>
      <c r="K18" s="5" t="n">
        <v>86</v>
      </c>
      <c r="L18" s="7" t="n">
        <v>0.03</v>
      </c>
      <c r="M18" s="5" t="n">
        <v>87</v>
      </c>
      <c r="N18" s="4" t="inlineStr">
        <is>
          <t>5 % -</t>
        </is>
      </c>
      <c r="O18" s="5" t="n">
        <v>1</v>
      </c>
      <c r="P18" s="8" t="n">
        <v>2</v>
      </c>
    </row>
    <row r="20">
      <c r="A20" s="4" t="inlineStr">
        <is>
          <t>A</t>
        </is>
      </c>
      <c r="B20" s="4" t="inlineStr">
        <is>
          <t>S K</t>
        </is>
      </c>
      <c r="C20" s="4" t="inlineStr">
        <is>
          <t>( m</t>
        </is>
      </c>
      <c r="D20" s="4" t="inlineStr">
        <is>
          <t>ln k m )</t>
        </is>
      </c>
      <c r="E20" s="5" t="n">
        <v>6321</v>
      </c>
      <c r="F20" s="5" t="n">
        <v>5</v>
      </c>
      <c r="G20" s="5" t="n">
        <v>150</v>
      </c>
      <c r="H20" s="5" t="n">
        <v>2</v>
      </c>
      <c r="I20" s="5" t="n">
        <v>3</v>
      </c>
      <c r="J20" s="4" t="inlineStr">
        <is>
          <t>%</t>
        </is>
      </c>
      <c r="K20" s="6" t="n">
        <v>22.4</v>
      </c>
      <c r="L20" s="5" t="n">
        <v>38</v>
      </c>
      <c r="M20" s="6" t="n">
        <v>19.3</v>
      </c>
      <c r="N20" s="5" t="n">
        <v>26</v>
      </c>
      <c r="O20" s="5" t="n">
        <v>16</v>
      </c>
      <c r="P20" s="4" t="inlineStr">
        <is>
          <t>%</t>
        </is>
      </c>
    </row>
    <row r="22">
      <c r="A22" s="4" t="inlineStr">
        <is>
          <t>K</t>
        </is>
      </c>
      <c r="B22" s="4" t="inlineStr">
        <is>
          <t>o n</t>
        </is>
      </c>
      <c r="C22" s="4" t="inlineStr">
        <is>
          <t>m a</t>
        </is>
      </c>
      <c r="D22" s="4" t="inlineStr">
        <is>
          <t>b a ş ı n a</t>
        </is>
      </c>
      <c r="E22" s="4" t="inlineStr">
        <is>
          <t>M i</t>
        </is>
      </c>
      <c r="F22" s="4" t="inlineStr">
        <is>
          <t>s a</t>
        </is>
      </c>
      <c r="G22" s="4" t="inlineStr">
        <is>
          <t>f i r</t>
        </is>
      </c>
      <c r="H22" s="5" t="n">
        <v>182</v>
      </c>
      <c r="I22" s="5" t="n">
        <v>1</v>
      </c>
      <c r="J22" s="5" t="n">
        <v>82</v>
      </c>
      <c r="K22" s="7" t="n">
        <v>0</v>
      </c>
      <c r="L22" s="5" t="n">
        <v>18</v>
      </c>
      <c r="M22" s="5" t="n">
        <v>1</v>
      </c>
      <c r="N22" s="5" t="n">
        <v>18</v>
      </c>
      <c r="O22" s="5" t="n">
        <v>0</v>
      </c>
      <c r="P22" s="5" t="n">
        <v>1</v>
      </c>
      <c r="Q22" s="4" t="inlineStr">
        <is>
          <t>%</t>
        </is>
      </c>
    </row>
    <row r="24">
      <c r="A24" s="4" t="inlineStr">
        <is>
          <t>M</t>
        </is>
      </c>
      <c r="B24" s="4" t="inlineStr">
        <is>
          <t>i s</t>
        </is>
      </c>
      <c r="C24" s="4" t="inlineStr">
        <is>
          <t>a f i r</t>
        </is>
      </c>
      <c r="D24" s="4" t="inlineStr">
        <is>
          <t>s a y ı s ı ,</t>
        </is>
      </c>
      <c r="E24" s="4" t="inlineStr">
        <is>
          <t>m</t>
        </is>
      </c>
      <c r="F24" s="4" t="inlineStr">
        <is>
          <t>n</t>
        </is>
      </c>
      <c r="G24" s="6" t="n">
        <v>1.22</v>
      </c>
      <c r="H24" s="5" t="n">
        <v>1</v>
      </c>
      <c r="I24" s="6" t="n">
        <v>0.13</v>
      </c>
      <c r="J24" s="7" t="n">
        <v>0.08</v>
      </c>
      <c r="K24" s="6" t="n">
        <v>4.5</v>
      </c>
      <c r="L24" s="5" t="n">
        <v>2</v>
      </c>
      <c r="M24" s="6" t="n">
        <v>4.3</v>
      </c>
      <c r="N24" s="5" t="n">
        <v>1</v>
      </c>
      <c r="O24" s="5" t="n">
        <v>5</v>
      </c>
      <c r="P24" s="4" t="inlineStr">
        <is>
          <t>%</t>
        </is>
      </c>
    </row>
    <row r="26">
      <c r="A26" s="4" t="inlineStr">
        <is>
          <t>K</t>
        </is>
      </c>
      <c r="B26" s="4" t="inlineStr">
        <is>
          <t>o n</t>
        </is>
      </c>
      <c r="C26" s="4" t="inlineStr">
        <is>
          <t>m a</t>
        </is>
      </c>
      <c r="D26" s="5" t="n">
        <v>6212</v>
      </c>
      <c r="E26" s="5" t="n">
        <v>6</v>
      </c>
      <c r="F26" s="5" t="n">
        <v>17</v>
      </c>
      <c r="G26" s="7" t="n">
        <v>0.03</v>
      </c>
      <c r="H26" s="6" t="n">
        <v>23.8</v>
      </c>
      <c r="I26" s="5" t="n">
        <v>56</v>
      </c>
      <c r="J26" s="6" t="n">
        <v>23.5</v>
      </c>
      <c r="K26" s="5" t="n">
        <v>91</v>
      </c>
      <c r="L26" s="5" t="n">
        <v>1</v>
      </c>
      <c r="M26" s="4" t="inlineStr">
        <is>
          <t>%</t>
        </is>
      </c>
    </row>
    <row r="28">
      <c r="A28" s="4" t="inlineStr">
        <is>
          <t>K</t>
        </is>
      </c>
      <c r="B28" s="4" t="inlineStr">
        <is>
          <t>o lt</t>
        </is>
      </c>
      <c r="C28" s="4" t="inlineStr">
        <is>
          <t>u k s</t>
        </is>
      </c>
      <c r="D28" s="4" t="inlineStr">
        <is>
          <t>a y ı s ı ,</t>
        </is>
      </c>
      <c r="E28" s="4" t="inlineStr">
        <is>
          <t>m n</t>
        </is>
      </c>
      <c r="F28" s="6" t="n">
        <v>1.34</v>
      </c>
      <c r="G28" s="5" t="n">
        <v>1</v>
      </c>
      <c r="H28" s="6" t="n">
        <v>0.24</v>
      </c>
      <c r="I28" s="7" t="n">
        <v>0.08</v>
      </c>
      <c r="J28" s="5" t="n">
        <v>5</v>
      </c>
      <c r="K28" s="5" t="n">
        <v>3</v>
      </c>
      <c r="L28" s="6" t="n">
        <v>4.7</v>
      </c>
      <c r="M28" s="5" t="n">
        <v>6</v>
      </c>
      <c r="N28" s="5" t="n">
        <v>6</v>
      </c>
      <c r="O28" s="4" t="inlineStr">
        <is>
          <t>%</t>
        </is>
      </c>
    </row>
    <row r="30">
      <c r="A30" s="4" t="inlineStr">
        <is>
          <t>İ ç</t>
        </is>
      </c>
      <c r="B30" s="4" t="inlineStr">
        <is>
          <t>H a t l a</t>
        </is>
      </c>
      <c r="C30" s="4" t="inlineStr">
        <is>
          <t>r</t>
        </is>
      </c>
    </row>
    <row r="31">
      <c r="A31" s="4" t="inlineStr">
        <is>
          <t>D</t>
        </is>
      </c>
      <c r="B31" s="4" t="inlineStr">
        <is>
          <t>o l</t>
        </is>
      </c>
      <c r="C31" s="4" t="inlineStr">
        <is>
          <t>u l u k</t>
        </is>
      </c>
      <c r="D31" s="4" t="inlineStr">
        <is>
          <t>O r a n ı</t>
        </is>
      </c>
      <c r="E31" s="7" t="n">
        <v>0.907</v>
      </c>
      <c r="F31" s="5" t="n">
        <v>91</v>
      </c>
      <c r="G31" s="7" t="n">
        <v>0.004</v>
      </c>
      <c r="H31" s="4" t="inlineStr">
        <is>
          <t>-</t>
        </is>
      </c>
      <c r="I31" s="6" t="n">
        <v>0.8</v>
      </c>
      <c r="J31" s="4" t="inlineStr">
        <is>
          <t>p</t>
        </is>
      </c>
      <c r="K31" s="5" t="n">
        <v>89</v>
      </c>
      <c r="L31" s="7" t="n">
        <v>0.09</v>
      </c>
      <c r="M31" s="5" t="n">
        <v>90</v>
      </c>
      <c r="N31" s="4" t="inlineStr">
        <is>
          <t>5 % -</t>
        </is>
      </c>
      <c r="O31" s="5" t="n">
        <v>0</v>
      </c>
      <c r="P31" s="8" t="n">
        <v>6</v>
      </c>
    </row>
    <row r="33">
      <c r="A33" s="4" t="inlineStr">
        <is>
          <t>A</t>
        </is>
      </c>
      <c r="B33" s="4" t="inlineStr">
        <is>
          <t>S K</t>
        </is>
      </c>
      <c r="C33" s="4" t="inlineStr">
        <is>
          <t>( m</t>
        </is>
      </c>
      <c r="D33" s="4" t="inlineStr">
        <is>
          <t>ln k m )</t>
        </is>
      </c>
      <c r="E33" s="5" t="n">
        <v>1005</v>
      </c>
      <c r="F33" s="5" t="n">
        <v>9</v>
      </c>
      <c r="G33" s="5" t="n">
        <v>22</v>
      </c>
      <c r="H33" s="7" t="n">
        <v>0.09</v>
      </c>
      <c r="I33" s="6" t="n">
        <v>3.7</v>
      </c>
      <c r="J33" s="5" t="n">
        <v>99</v>
      </c>
      <c r="K33" s="6" t="n">
        <v>3.5</v>
      </c>
      <c r="L33" s="5" t="n">
        <v>98</v>
      </c>
      <c r="M33" s="5" t="n">
        <v>6</v>
      </c>
      <c r="N33" s="4" t="inlineStr">
        <is>
          <t>%</t>
        </is>
      </c>
    </row>
    <row r="35">
      <c r="A35" s="4" t="inlineStr">
        <is>
          <t>K</t>
        </is>
      </c>
      <c r="B35" s="4" t="inlineStr">
        <is>
          <t>o n</t>
        </is>
      </c>
      <c r="C35" s="4" t="inlineStr">
        <is>
          <t>m a</t>
        </is>
      </c>
      <c r="D35" s="4" t="inlineStr">
        <is>
          <t>b a ş ı n a</t>
        </is>
      </c>
      <c r="E35" s="4" t="inlineStr">
        <is>
          <t>M i</t>
        </is>
      </c>
      <c r="F35" s="4" t="inlineStr">
        <is>
          <t>s a</t>
        </is>
      </c>
      <c r="G35" s="4" t="inlineStr">
        <is>
          <t>f i r</t>
        </is>
      </c>
      <c r="H35" s="5" t="n">
        <v>196</v>
      </c>
      <c r="I35" s="5" t="n">
        <v>1</v>
      </c>
      <c r="J35" s="5" t="n">
        <v>89</v>
      </c>
      <c r="K35" s="7" t="n">
        <v>0.04</v>
      </c>
      <c r="L35" s="5" t="n">
        <v>19</v>
      </c>
      <c r="M35" s="5" t="n">
        <v>0</v>
      </c>
      <c r="N35" s="5" t="n">
        <v>18</v>
      </c>
      <c r="O35" s="5" t="n">
        <v>3</v>
      </c>
      <c r="P35" s="5" t="n">
        <v>4</v>
      </c>
      <c r="Q35" s="4" t="inlineStr">
        <is>
          <t>%</t>
        </is>
      </c>
    </row>
    <row r="37">
      <c r="A37" s="4" t="inlineStr">
        <is>
          <t>M</t>
        </is>
      </c>
      <c r="B37" s="4" t="inlineStr">
        <is>
          <t>i s</t>
        </is>
      </c>
      <c r="C37" s="4" t="inlineStr">
        <is>
          <t>a f i r</t>
        </is>
      </c>
      <c r="D37" s="4" t="inlineStr">
        <is>
          <t>s a y ı s ı ,</t>
        </is>
      </c>
      <c r="E37" s="4" t="inlineStr">
        <is>
          <t>m</t>
        </is>
      </c>
      <c r="F37" s="4" t="inlineStr">
        <is>
          <t>n</t>
        </is>
      </c>
      <c r="G37" s="6" t="n">
        <v>2.23</v>
      </c>
      <c r="H37" s="5" t="n">
        <v>1</v>
      </c>
      <c r="I37" s="6" t="n">
        <v>0.79</v>
      </c>
      <c r="J37" s="5" t="n">
        <v>2</v>
      </c>
      <c r="K37" s="5" t="n">
        <v>5</v>
      </c>
      <c r="L37" s="4" t="inlineStr">
        <is>
          <t>%</t>
        </is>
      </c>
      <c r="M37" s="6" t="n">
        <v>7.9</v>
      </c>
      <c r="N37" s="5" t="n">
        <v>5</v>
      </c>
      <c r="O37" s="6" t="n">
        <v>6.6</v>
      </c>
      <c r="P37" s="5" t="n">
        <v>7</v>
      </c>
      <c r="Q37" s="5" t="n">
        <v>19</v>
      </c>
      <c r="R37" s="4" t="inlineStr">
        <is>
          <t>%</t>
        </is>
      </c>
    </row>
    <row r="39">
      <c r="A39" s="4" t="inlineStr">
        <is>
          <t>K</t>
        </is>
      </c>
      <c r="B39" s="4" t="inlineStr">
        <is>
          <t>o n</t>
        </is>
      </c>
      <c r="C39" s="4" t="inlineStr">
        <is>
          <t>m a</t>
        </is>
      </c>
      <c r="D39" s="5" t="n">
        <v>12699</v>
      </c>
      <c r="E39" s="5" t="n">
        <v>10</v>
      </c>
      <c r="F39" s="6" t="n">
        <v>0.06</v>
      </c>
      <c r="G39" s="5" t="n">
        <v>2</v>
      </c>
      <c r="H39" s="5" t="n">
        <v>6</v>
      </c>
      <c r="I39" s="4" t="inlineStr">
        <is>
          <t>%</t>
        </is>
      </c>
      <c r="J39" s="6" t="n">
        <v>44.9</v>
      </c>
      <c r="K39" s="5" t="n">
        <v>11</v>
      </c>
      <c r="L39" s="6" t="n">
        <v>37.5</v>
      </c>
      <c r="M39" s="5" t="n">
        <v>47</v>
      </c>
      <c r="N39" s="5" t="n">
        <v>20</v>
      </c>
      <c r="O39" s="4" t="inlineStr">
        <is>
          <t>%</t>
        </is>
      </c>
    </row>
    <row r="41">
      <c r="A41" s="4" t="inlineStr">
        <is>
          <t>K</t>
        </is>
      </c>
      <c r="B41" s="4" t="inlineStr">
        <is>
          <t>o lt</t>
        </is>
      </c>
      <c r="C41" s="4" t="inlineStr">
        <is>
          <t>u k s</t>
        </is>
      </c>
      <c r="D41" s="4" t="inlineStr">
        <is>
          <t>a y ı s ı ,</t>
        </is>
      </c>
      <c r="E41" s="4" t="inlineStr">
        <is>
          <t>m n</t>
        </is>
      </c>
      <c r="F41" s="6" t="n">
        <v>2.63</v>
      </c>
      <c r="G41" s="5" t="n">
        <v>2</v>
      </c>
      <c r="H41" s="6" t="n">
        <v>0.07000000000000001</v>
      </c>
      <c r="I41" s="5" t="n">
        <v>2</v>
      </c>
      <c r="J41" s="5" t="n">
        <v>7</v>
      </c>
      <c r="K41" s="4" t="inlineStr">
        <is>
          <t>%</t>
        </is>
      </c>
      <c r="L41" s="6" t="n">
        <v>9.4</v>
      </c>
      <c r="M41" s="5" t="n">
        <v>3</v>
      </c>
      <c r="N41" s="6" t="n">
        <v>7.8</v>
      </c>
      <c r="O41" s="5" t="n">
        <v>0</v>
      </c>
      <c r="P41" s="5" t="n">
        <v>21</v>
      </c>
      <c r="Q41" s="4" t="inlineStr">
        <is>
          <t>%</t>
        </is>
      </c>
    </row>
    <row r="43">
      <c r="A43" s="4" t="inlineStr">
        <is>
          <t>D ı</t>
        </is>
      </c>
      <c r="B43" s="4" t="inlineStr">
        <is>
          <t>ş H a t l</t>
        </is>
      </c>
      <c r="C43" s="4" t="inlineStr">
        <is>
          <t>a r *</t>
        </is>
      </c>
    </row>
    <row r="44">
      <c r="A44" s="4" t="inlineStr">
        <is>
          <t>D</t>
        </is>
      </c>
      <c r="B44" s="4" t="inlineStr">
        <is>
          <t>o l</t>
        </is>
      </c>
      <c r="C44" s="4" t="inlineStr">
        <is>
          <t>u l u k</t>
        </is>
      </c>
      <c r="D44" s="4" t="inlineStr">
        <is>
          <t>O r a n ı</t>
        </is>
      </c>
      <c r="E44" s="7" t="n">
        <v>0.848</v>
      </c>
      <c r="F44" s="5" t="n">
        <v>86</v>
      </c>
      <c r="G44" s="7" t="n">
        <v>0.004</v>
      </c>
      <c r="H44" s="4" t="inlineStr">
        <is>
          <t>-</t>
        </is>
      </c>
      <c r="I44" s="6" t="n">
        <v>1.6</v>
      </c>
      <c r="J44" s="4" t="inlineStr">
        <is>
          <t>p</t>
        </is>
      </c>
      <c r="K44" s="5" t="n">
        <v>84</v>
      </c>
      <c r="L44" s="7" t="n">
        <v>0.04</v>
      </c>
      <c r="M44" s="5" t="n">
        <v>85</v>
      </c>
      <c r="N44" s="4" t="inlineStr">
        <is>
          <t>6 % -</t>
        </is>
      </c>
      <c r="O44" s="5" t="n">
        <v>1</v>
      </c>
      <c r="P44" s="8" t="n">
        <v>2</v>
      </c>
    </row>
    <row r="46">
      <c r="A46" s="4" t="inlineStr">
        <is>
          <t>A</t>
        </is>
      </c>
      <c r="B46" s="4" t="inlineStr">
        <is>
          <t>S K</t>
        </is>
      </c>
      <c r="C46" s="4" t="inlineStr">
        <is>
          <t>( m</t>
        </is>
      </c>
      <c r="D46" s="4" t="inlineStr">
        <is>
          <t>ln k m )</t>
        </is>
      </c>
      <c r="E46" s="5" t="n">
        <v>5316</v>
      </c>
      <c r="F46" s="5" t="n">
        <v>4</v>
      </c>
      <c r="G46" s="5" t="n">
        <v>228</v>
      </c>
      <c r="H46" s="5" t="n">
        <v>2</v>
      </c>
      <c r="I46" s="5" t="n">
        <v>6</v>
      </c>
      <c r="J46" s="4" t="inlineStr">
        <is>
          <t>%</t>
        </is>
      </c>
      <c r="K46" s="6" t="n">
        <v>18.6</v>
      </c>
      <c r="L46" s="5" t="n">
        <v>40</v>
      </c>
      <c r="M46" s="6" t="n">
        <v>15.7</v>
      </c>
      <c r="N46" s="5" t="n">
        <v>29</v>
      </c>
      <c r="O46" s="5" t="n">
        <v>19</v>
      </c>
      <c r="P46" s="4" t="inlineStr">
        <is>
          <t>%</t>
        </is>
      </c>
    </row>
    <row r="48">
      <c r="A48" s="4" t="inlineStr">
        <is>
          <t>K</t>
        </is>
      </c>
      <c r="B48" s="4" t="inlineStr">
        <is>
          <t>o n</t>
        </is>
      </c>
      <c r="C48" s="4" t="inlineStr">
        <is>
          <t>m a</t>
        </is>
      </c>
      <c r="D48" s="4" t="inlineStr">
        <is>
          <t>b a ş ı n a</t>
        </is>
      </c>
      <c r="E48" s="4" t="inlineStr">
        <is>
          <t>M i</t>
        </is>
      </c>
      <c r="F48" s="4" t="inlineStr">
        <is>
          <t>s a</t>
        </is>
      </c>
      <c r="G48" s="4" t="inlineStr">
        <is>
          <t>f i r</t>
        </is>
      </c>
      <c r="H48" s="5" t="n">
        <v>176</v>
      </c>
      <c r="I48" s="5" t="n">
        <v>1</v>
      </c>
      <c r="J48" s="5" t="n">
        <v>78</v>
      </c>
      <c r="K48" s="4" t="inlineStr">
        <is>
          <t>-</t>
        </is>
      </c>
      <c r="L48" s="5" t="n">
        <v>1</v>
      </c>
      <c r="M48" s="4" t="inlineStr">
        <is>
          <t>%</t>
        </is>
      </c>
      <c r="N48" s="5" t="n">
        <v>17</v>
      </c>
      <c r="O48" s="5" t="n">
        <v>7</v>
      </c>
      <c r="P48" s="5" t="n">
        <v>17</v>
      </c>
      <c r="Q48" s="5" t="n">
        <v>8</v>
      </c>
      <c r="R48" s="5" t="n">
        <v>0</v>
      </c>
      <c r="S48" s="4" t="inlineStr">
        <is>
          <t>%</t>
        </is>
      </c>
    </row>
    <row r="50">
      <c r="A50" s="4" t="inlineStr">
        <is>
          <t>* C</t>
        </is>
      </c>
      <c r="B50" s="4" t="inlineStr">
        <is>
          <t>h a r t e r</t>
        </is>
      </c>
      <c r="C50" s="4" t="inlineStr">
        <is>
          <t>d a h il</t>
        </is>
      </c>
    </row>
    <row r="52">
      <c r="A52" s="4" t="inlineStr">
        <is>
          <t>K a</t>
        </is>
      </c>
      <c r="B52" s="4" t="inlineStr">
        <is>
          <t>r b o n</t>
        </is>
      </c>
      <c r="C52" s="4" t="inlineStr">
        <is>
          <t>E m i s y o</t>
        </is>
      </c>
      <c r="D52" s="4" t="inlineStr">
        <is>
          <t>n u</t>
        </is>
      </c>
      <c r="E52" s="4" t="inlineStr">
        <is>
          <t>İ s t a</t>
        </is>
      </c>
      <c r="F52" s="4" t="inlineStr">
        <is>
          <t>t i s t i k l e</t>
        </is>
      </c>
      <c r="G52" s="4" t="inlineStr">
        <is>
          <t>r i</t>
        </is>
      </c>
    </row>
    <row r="54">
      <c r="A54" s="4" t="inlineStr">
        <is>
          <t>A Y L I K</t>
        </is>
      </c>
      <c r="B54" s="5" t="n">
        <v>2</v>
      </c>
      <c r="C54" s="5" t="n">
        <v>25</v>
      </c>
      <c r="D54" s="5" t="n">
        <v>2</v>
      </c>
      <c r="E54" s="5" t="n">
        <v>2</v>
      </c>
      <c r="F54" s="4" t="inlineStr">
        <is>
          <t>4 K Ü</t>
        </is>
      </c>
      <c r="G54" s="4" t="inlineStr">
        <is>
          <t>M Ü</t>
        </is>
      </c>
      <c r="H54" s="4" t="inlineStr">
        <is>
          <t>L A T İ F</t>
        </is>
      </c>
      <c r="I54" s="5" t="n">
        <v>202</v>
      </c>
      <c r="J54" s="5" t="n">
        <v>5</v>
      </c>
      <c r="K54" s="5" t="n">
        <v>20</v>
      </c>
      <c r="L54" s="5" t="n">
        <v>24</v>
      </c>
    </row>
    <row r="56">
      <c r="A56" s="4" t="inlineStr">
        <is>
          <t>C O</t>
        </is>
      </c>
      <c r="B56" s="4" t="inlineStr">
        <is>
          <t>2 g r a</t>
        </is>
      </c>
      <c r="C56" s="4" t="inlineStr">
        <is>
          <t>m / R P K</t>
        </is>
      </c>
      <c r="D56" s="4" t="inlineStr">
        <is>
          <t>O c a k</t>
        </is>
      </c>
      <c r="E56" s="5" t="n">
        <v>5</v>
      </c>
      <c r="F56" s="6" t="n">
        <v>8.199999999999999</v>
      </c>
      <c r="G56" s="5" t="n">
        <v>6</v>
      </c>
      <c r="H56" s="5" t="n">
        <v>0</v>
      </c>
      <c r="I56" s="5" t="n">
        <v>2</v>
      </c>
      <c r="J56" s="5" t="n">
        <v>1</v>
      </c>
      <c r="K56" s="4" t="inlineStr">
        <is>
          <t>A</t>
        </is>
      </c>
      <c r="L56" s="5" t="n">
        <v>58</v>
      </c>
      <c r="M56" s="5" t="n">
        <v>2</v>
      </c>
      <c r="N56" s="5" t="n">
        <v>60</v>
      </c>
      <c r="O56" s="6" t="n">
        <v>0.2</v>
      </c>
    </row>
    <row r="58">
      <c r="A58" s="4" t="inlineStr">
        <is>
          <t>Ş u b a t</t>
        </is>
      </c>
      <c r="B58" s="5" t="n">
        <v>5</v>
      </c>
      <c r="C58" s="6" t="n">
        <v>5.5</v>
      </c>
      <c r="D58" s="5" t="n">
        <v>5</v>
      </c>
      <c r="E58" s="5" t="n">
        <v>7</v>
      </c>
      <c r="F58" s="5" t="n">
        <v>2</v>
      </c>
      <c r="G58" s="5" t="n">
        <v>2</v>
      </c>
      <c r="H58" s="4" t="inlineStr">
        <is>
          <t>A</t>
        </is>
      </c>
      <c r="I58" s="5" t="n">
        <v>56</v>
      </c>
      <c r="J58" s="5" t="n">
        <v>9</v>
      </c>
      <c r="K58" s="5" t="n">
        <v>58</v>
      </c>
      <c r="L58" s="6" t="n">
        <v>0.7</v>
      </c>
    </row>
    <row r="60">
      <c r="A60" s="4" t="inlineStr">
        <is>
          <t>M a r t</t>
        </is>
      </c>
      <c r="B60" s="5" t="n">
        <v>5</v>
      </c>
      <c r="C60" s="6" t="n">
        <v>7.5</v>
      </c>
      <c r="D60" s="5" t="n">
        <v>5</v>
      </c>
      <c r="E60" s="5" t="n">
        <v>7</v>
      </c>
      <c r="F60" s="5" t="n">
        <v>2</v>
      </c>
      <c r="G60" s="5" t="n">
        <v>3</v>
      </c>
      <c r="H60" s="4" t="inlineStr">
        <is>
          <t>A</t>
        </is>
      </c>
      <c r="I60" s="5" t="n">
        <v>57</v>
      </c>
      <c r="J60" s="5" t="n">
        <v>1</v>
      </c>
      <c r="K60" s="5" t="n">
        <v>58</v>
      </c>
      <c r="L60" s="6" t="n">
        <v>0.2</v>
      </c>
    </row>
    <row r="62">
      <c r="A62" s="4" t="inlineStr">
        <is>
          <t>N i s a n</t>
        </is>
      </c>
      <c r="B62" s="5" t="n">
        <v>5</v>
      </c>
      <c r="C62" s="6" t="n">
        <v>6.8</v>
      </c>
      <c r="D62" s="5" t="n">
        <v>5</v>
      </c>
      <c r="E62" s="5" t="n">
        <v>7</v>
      </c>
      <c r="F62" s="5" t="n">
        <v>2</v>
      </c>
      <c r="G62" s="5" t="n">
        <v>4</v>
      </c>
      <c r="H62" s="4" t="inlineStr">
        <is>
          <t>A</t>
        </is>
      </c>
      <c r="I62" s="5" t="n">
        <v>57</v>
      </c>
      <c r="J62" s="5" t="n">
        <v>0</v>
      </c>
      <c r="K62" s="5" t="n">
        <v>57</v>
      </c>
      <c r="L62" s="6" t="n">
        <v>0.9</v>
      </c>
    </row>
    <row r="64">
      <c r="A64" s="4" t="inlineStr">
        <is>
          <t>Y I L</t>
        </is>
      </c>
      <c r="B64" s="4" t="inlineStr">
        <is>
          <t>L I K</t>
        </is>
      </c>
      <c r="C64" s="5" t="n">
        <v>2019</v>
      </c>
      <c r="D64" s="5" t="n">
        <v>2</v>
      </c>
      <c r="E64" s="5" t="n">
        <v>20</v>
      </c>
      <c r="F64" s="5" t="n">
        <v>2</v>
      </c>
      <c r="G64" s="5" t="n">
        <v>2</v>
      </c>
      <c r="H64" s="5" t="n">
        <v>1</v>
      </c>
      <c r="I64" s="5" t="n">
        <v>202</v>
      </c>
      <c r="J64" s="5" t="n">
        <v>2</v>
      </c>
      <c r="K64" s="5" t="n">
        <v>202</v>
      </c>
      <c r="L64" s="5" t="n">
        <v>3</v>
      </c>
      <c r="M64" s="5" t="n">
        <v>20</v>
      </c>
      <c r="N64" s="5" t="n">
        <v>24</v>
      </c>
    </row>
    <row r="66">
      <c r="A66" s="4" t="inlineStr">
        <is>
          <t>C O</t>
        </is>
      </c>
      <c r="B66" s="4" t="inlineStr">
        <is>
          <t>2 g r a</t>
        </is>
      </c>
      <c r="C66" s="4" t="inlineStr">
        <is>
          <t>m / R P K</t>
        </is>
      </c>
      <c r="D66" s="6" t="n">
        <v>65.09999999999999</v>
      </c>
      <c r="E66" s="5" t="n">
        <v>7</v>
      </c>
      <c r="F66" s="6" t="n">
        <v>1.3</v>
      </c>
      <c r="G66" s="5" t="n">
        <v>7</v>
      </c>
      <c r="H66" s="5" t="n">
        <v>1</v>
      </c>
      <c r="I66" s="5" t="n">
        <v>0</v>
      </c>
      <c r="J66" s="5" t="n">
        <v>62</v>
      </c>
      <c r="K66" s="5" t="n">
        <v>1</v>
      </c>
      <c r="L66" s="5" t="n">
        <v>61</v>
      </c>
      <c r="M66" s="5" t="n">
        <v>3</v>
      </c>
      <c r="N66" s="5" t="n">
        <v>58</v>
      </c>
      <c r="O66" s="6" t="n">
        <v>0.3</v>
      </c>
    </row>
    <row r="68">
      <c r="A68" s="4" t="inlineStr">
        <is>
          <t>Karb</t>
        </is>
      </c>
      <c r="B68" s="4" t="inlineStr">
        <is>
          <t>on Emi</t>
        </is>
      </c>
      <c r="C68" s="4" t="inlineStr">
        <is>
          <t>syonu İstati</t>
        </is>
      </c>
      <c r="D68" s="4" t="inlineStr">
        <is>
          <t>stikl</t>
        </is>
      </c>
      <c r="E68" s="4" t="inlineStr">
        <is>
          <t>erind</t>
        </is>
      </c>
      <c r="F68" s="4" t="inlineStr">
        <is>
          <t>e (grCO2/</t>
        </is>
      </c>
      <c r="G68" s="4" t="inlineStr">
        <is>
          <t>RP</t>
        </is>
      </c>
      <c r="H68" s="4" t="inlineStr">
        <is>
          <t>K)</t>
        </is>
      </c>
      <c r="I68" s="4" t="inlineStr">
        <is>
          <t>jet yakıtı emisyon</t>
        </is>
      </c>
      <c r="J68" s="4" t="inlineStr">
        <is>
          <t>katsayısı baz yıl v</t>
        </is>
      </c>
      <c r="K68" s="4" t="inlineStr">
        <is>
          <t>e tüm</t>
        </is>
      </c>
      <c r="L68" s="4" t="inlineStr">
        <is>
          <t>raporl</t>
        </is>
      </c>
      <c r="M68" s="4" t="inlineStr">
        <is>
          <t>anan döne</t>
        </is>
      </c>
      <c r="N68" s="4" t="inlineStr">
        <is>
          <t>mler</t>
        </is>
      </c>
      <c r="O68" s="4" t="inlineStr">
        <is>
          <t>için 3,16 olara</t>
        </is>
      </c>
      <c r="P68" s="4" t="inlineStr">
        <is>
          <t>k kul</t>
        </is>
      </c>
      <c r="Q68" s="4" t="inlineStr">
        <is>
          <t>lanılmıştır.</t>
        </is>
      </c>
    </row>
    <row r="70">
      <c r="A70" s="4" t="inlineStr">
        <is>
          <t>Arz</t>
        </is>
      </c>
      <c r="B70" s="4" t="inlineStr">
        <is>
          <t>edilen</t>
        </is>
      </c>
      <c r="C70" s="4" t="inlineStr">
        <is>
          <t>Koltuk Kil</t>
        </is>
      </c>
      <c r="D70" s="4" t="inlineStr">
        <is>
          <t>om</t>
        </is>
      </c>
      <c r="E70" s="4" t="inlineStr">
        <is>
          <t>etre</t>
        </is>
      </c>
      <c r="F70" s="4" t="inlineStr">
        <is>
          <t>(ASK) =</t>
        </is>
      </c>
      <c r="G70" s="4" t="inlineStr">
        <is>
          <t>Uçu</t>
        </is>
      </c>
      <c r="H70" s="4" t="inlineStr">
        <is>
          <t>şa</t>
        </is>
      </c>
      <c r="I70" s="4" t="inlineStr">
        <is>
          <t>arz edilen kolt</t>
        </is>
      </c>
      <c r="J70" s="4" t="inlineStr">
        <is>
          <t>uk sayısı x Orta</t>
        </is>
      </c>
      <c r="K70" s="4" t="inlineStr">
        <is>
          <t>lam</t>
        </is>
      </c>
      <c r="L70" s="4" t="inlineStr">
        <is>
          <t>a Uçuş</t>
        </is>
      </c>
      <c r="M70" s="4" t="inlineStr">
        <is>
          <t>Mesafesi</t>
        </is>
      </c>
    </row>
    <row r="72">
      <c r="A72" s="4" t="inlineStr">
        <is>
          <t>Dol</t>
        </is>
      </c>
      <c r="B72" s="4" t="inlineStr">
        <is>
          <t>uluk Or</t>
        </is>
      </c>
      <c r="C72" s="4" t="inlineStr">
        <is>
          <t>anı = Bilet</t>
        </is>
      </c>
      <c r="D72" s="4" t="inlineStr">
        <is>
          <t>len</t>
        </is>
      </c>
      <c r="E72" s="4" t="inlineStr">
        <is>
          <t>miş</t>
        </is>
      </c>
      <c r="F72" s="4" t="inlineStr">
        <is>
          <t>misafir s</t>
        </is>
      </c>
      <c r="G72" s="4" t="inlineStr">
        <is>
          <t>ay</t>
        </is>
      </c>
      <c r="H72" s="4" t="inlineStr">
        <is>
          <t>ısı</t>
        </is>
      </c>
      <c r="I72" s="4" t="inlineStr">
        <is>
          <t>/ Toplam koltu</t>
        </is>
      </c>
      <c r="J72" s="4" t="inlineStr">
        <is>
          <t>k sayısı</t>
        </is>
      </c>
    </row>
    <row r="74">
      <c r="A74" s="4" t="inlineStr">
        <is>
          <t>RPK</t>
        </is>
      </c>
      <c r="B74" s="4" t="inlineStr">
        <is>
          <t>(Reve</t>
        </is>
      </c>
      <c r="C74" s="4" t="inlineStr">
        <is>
          <t>nue Passe</t>
        </is>
      </c>
      <c r="D74" s="4" t="inlineStr">
        <is>
          <t>ng</t>
        </is>
      </c>
      <c r="E74" s="4" t="inlineStr">
        <is>
          <t>er Kil</t>
        </is>
      </c>
      <c r="F74" s="4" t="inlineStr">
        <is>
          <t>ometer):</t>
        </is>
      </c>
      <c r="G74" s="4" t="inlineStr">
        <is>
          <t>Ü</t>
        </is>
      </c>
      <c r="H74" s="4" t="inlineStr">
        <is>
          <t>cre</t>
        </is>
      </c>
      <c r="I74" s="4" t="inlineStr">
        <is>
          <t>tli Yolcu Kilome</t>
        </is>
      </c>
      <c r="J74" s="4" t="inlineStr">
        <is>
          <t>tre</t>
        </is>
      </c>
    </row>
    <row r="76">
      <c r="A76" s="4" t="inlineStr">
        <is>
          <t>Genel</t>
        </is>
      </c>
      <c r="B76" s="4" t="inlineStr">
        <is>
          <t>(Public)</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cols>
    <col width="22" customWidth="1" min="1" max="1"/>
    <col width="15" customWidth="1" min="2" max="2"/>
    <col width="20" customWidth="1" min="3" max="3"/>
    <col width="25" customWidth="1" min="4" max="4"/>
    <col width="22" customWidth="1" min="5" max="5"/>
    <col width="20" customWidth="1" min="6" max="6"/>
    <col width="18" customWidth="1" min="7" max="7"/>
    <col width="24" customWidth="1" min="8" max="8"/>
    <col width="12" customWidth="1" min="9" max="9"/>
  </cols>
  <sheetData>
    <row r="1">
      <c r="A1" s="4" t="inlineStr">
        <is>
          <t>PEGASUS HAV</t>
        </is>
      </c>
      <c r="B1" s="4" t="inlineStr">
        <is>
          <t>A TAŞIM</t>
        </is>
      </c>
      <c r="C1" s="4" t="inlineStr">
        <is>
          <t>ACILIĞ</t>
        </is>
      </c>
      <c r="D1" s="4" t="inlineStr">
        <is>
          <t>I A.Ş.</t>
        </is>
      </c>
    </row>
    <row r="3">
      <c r="A3" s="3" t="inlineStr">
        <is>
          <t>MAYIS 2025 TR</t>
        </is>
      </c>
      <c r="B3" s="3" t="inlineStr">
        <is>
          <t>AFİK SO</t>
        </is>
      </c>
      <c r="C3" s="3" t="inlineStr">
        <is>
          <t>NUÇLA</t>
        </is>
      </c>
      <c r="D3" s="3" t="inlineStr">
        <is>
          <t>RI</t>
        </is>
      </c>
    </row>
    <row r="5">
      <c r="A5" s="4" t="inlineStr">
        <is>
          <t>AYLIK</t>
        </is>
      </c>
      <c r="B5" s="4" t="inlineStr">
        <is>
          <t>KÜMÜLATİF</t>
        </is>
      </c>
    </row>
    <row r="7">
      <c r="A7" s="4" t="inlineStr">
        <is>
          <t>Mayıs</t>
        </is>
      </c>
      <c r="B7" s="4" t="inlineStr">
        <is>
          <t>Mayıs</t>
        </is>
      </c>
      <c r="C7" s="4" t="inlineStr">
        <is>
          <t>'25/'24</t>
        </is>
      </c>
      <c r="D7" s="4" t="inlineStr">
        <is>
          <t>Oca.-May.</t>
        </is>
      </c>
      <c r="E7" s="4" t="inlineStr">
        <is>
          <t>Oca.-May.</t>
        </is>
      </c>
      <c r="F7" s="4" t="inlineStr">
        <is>
          <t>'25/'24</t>
        </is>
      </c>
    </row>
    <row r="9">
      <c r="A9" s="3" t="inlineStr">
        <is>
          <t>2025</t>
        </is>
      </c>
      <c r="B9" s="3" t="inlineStr">
        <is>
          <t>2024</t>
        </is>
      </c>
      <c r="C9" s="3" t="inlineStr">
        <is>
          <t>% Değ.</t>
        </is>
      </c>
      <c r="D9" s="3" t="inlineStr">
        <is>
          <t>2025</t>
        </is>
      </c>
      <c r="E9" s="3" t="inlineStr">
        <is>
          <t>2024</t>
        </is>
      </c>
      <c r="F9" s="3" t="inlineStr">
        <is>
          <t>% Değ.</t>
        </is>
      </c>
    </row>
    <row r="11">
      <c r="A11" s="4" t="inlineStr">
        <is>
          <t>Misafir s</t>
        </is>
      </c>
      <c r="B11" s="4" t="inlineStr">
        <is>
          <t>ayısı,</t>
        </is>
      </c>
      <c r="C11" s="4" t="inlineStr">
        <is>
          <t>mn</t>
        </is>
      </c>
      <c r="D11" s="6" t="n">
        <v>3.62</v>
      </c>
      <c r="E11" s="6" t="n">
        <v>3.16</v>
      </c>
      <c r="F11" s="7" t="n">
        <v>0.15</v>
      </c>
      <c r="G11" s="6" t="n">
        <v>16.1</v>
      </c>
      <c r="H11" s="6" t="n">
        <v>14.15</v>
      </c>
      <c r="I11" s="7" t="n">
        <v>0.14</v>
      </c>
    </row>
    <row r="13">
      <c r="A13" s="4" t="inlineStr">
        <is>
          <t>Konma</t>
        </is>
      </c>
      <c r="B13" s="5" t="n">
        <v>19992</v>
      </c>
      <c r="C13" s="5" t="n">
        <v>17485</v>
      </c>
      <c r="D13" s="7" t="n">
        <v>0.14</v>
      </c>
      <c r="E13" s="5" t="n">
        <v>88759</v>
      </c>
      <c r="F13" s="5" t="n">
        <v>78623</v>
      </c>
      <c r="G13" s="7" t="n">
        <v>0.13</v>
      </c>
    </row>
    <row r="15">
      <c r="A15" s="4" t="inlineStr">
        <is>
          <t>Koltuk sa</t>
        </is>
      </c>
      <c r="B15" s="4" t="inlineStr">
        <is>
          <t>yısı,</t>
        </is>
      </c>
      <c r="C15" s="4" t="inlineStr">
        <is>
          <t>mn</t>
        </is>
      </c>
      <c r="D15" s="6" t="n">
        <v>4.22</v>
      </c>
      <c r="E15" s="6" t="n">
        <v>3.62</v>
      </c>
      <c r="F15" s="7" t="n">
        <v>0.17</v>
      </c>
      <c r="G15" s="6" t="n">
        <v>18.67</v>
      </c>
      <c r="H15" s="6" t="n">
        <v>16.17</v>
      </c>
      <c r="I15" s="7" t="n">
        <v>0.15</v>
      </c>
    </row>
    <row r="17">
      <c r="A17" s="2" t="inlineStr">
        <is>
          <t>Toplam</t>
        </is>
      </c>
    </row>
    <row r="18">
      <c r="A18" s="4" t="inlineStr">
        <is>
          <t>Doluluk</t>
        </is>
      </c>
      <c r="B18" s="4" t="inlineStr">
        <is>
          <t>Oranı</t>
        </is>
      </c>
      <c r="C18" s="7" t="n">
        <v>0.8590000000000001</v>
      </c>
      <c r="D18" s="7" t="n">
        <v>0.875</v>
      </c>
      <c r="E18" s="8" t="n">
        <v>-1.6</v>
      </c>
      <c r="F18" s="7" t="n">
        <v>0.862</v>
      </c>
      <c r="G18" s="7" t="n">
        <v>0.875</v>
      </c>
      <c r="H18" s="8" t="n">
        <v>-1.3</v>
      </c>
    </row>
    <row r="20">
      <c r="A20" s="4" t="inlineStr">
        <is>
          <t>ASK (ml</t>
        </is>
      </c>
      <c r="B20" s="4" t="inlineStr">
        <is>
          <t>n km)</t>
        </is>
      </c>
      <c r="C20" s="5" t="n">
        <v>6738</v>
      </c>
      <c r="D20" s="5" t="n">
        <v>5732</v>
      </c>
      <c r="E20" s="7" t="n">
        <v>0.18</v>
      </c>
      <c r="F20" s="5" t="n">
        <v>29176</v>
      </c>
      <c r="G20" s="5" t="n">
        <v>25059</v>
      </c>
      <c r="H20" s="7" t="n">
        <v>0.16</v>
      </c>
    </row>
    <row r="22">
      <c r="A22" s="4" t="inlineStr">
        <is>
          <t>Konma b</t>
        </is>
      </c>
      <c r="B22" s="4" t="inlineStr">
        <is>
          <t>aşına</t>
        </is>
      </c>
      <c r="C22" s="4" t="inlineStr">
        <is>
          <t>Misafir</t>
        </is>
      </c>
      <c r="D22" s="5" t="n">
        <v>181</v>
      </c>
      <c r="E22" s="5" t="n">
        <v>181</v>
      </c>
      <c r="F22" s="7" t="n">
        <v>0</v>
      </c>
      <c r="G22" s="5" t="n">
        <v>181</v>
      </c>
      <c r="H22" s="5" t="n">
        <v>180</v>
      </c>
      <c r="I22" s="7" t="n">
        <v>0.01</v>
      </c>
    </row>
    <row r="24">
      <c r="A24" s="4" t="inlineStr">
        <is>
          <t>Misafir s</t>
        </is>
      </c>
      <c r="B24" s="4" t="inlineStr">
        <is>
          <t>ayısı,</t>
        </is>
      </c>
      <c r="C24" s="4" t="inlineStr">
        <is>
          <t>mn</t>
        </is>
      </c>
      <c r="D24" s="6" t="n">
        <v>1.31</v>
      </c>
      <c r="E24" s="6" t="n">
        <v>1.19</v>
      </c>
      <c r="F24" s="7" t="n">
        <v>0.1</v>
      </c>
      <c r="G24" s="6" t="n">
        <v>5.83</v>
      </c>
      <c r="H24" s="6" t="n">
        <v>5.5</v>
      </c>
      <c r="I24" s="7" t="n">
        <v>0.06</v>
      </c>
    </row>
    <row r="26">
      <c r="A26" s="4" t="inlineStr">
        <is>
          <t>Konma</t>
        </is>
      </c>
      <c r="B26" s="5" t="n">
        <v>6693</v>
      </c>
      <c r="C26" s="5" t="n">
        <v>6327</v>
      </c>
      <c r="D26" s="7" t="n">
        <v>0.06</v>
      </c>
      <c r="E26" s="5" t="n">
        <v>30549</v>
      </c>
      <c r="F26" s="5" t="n">
        <v>29918</v>
      </c>
      <c r="G26" s="7" t="n">
        <v>0.02</v>
      </c>
    </row>
    <row r="28">
      <c r="A28" s="4" t="inlineStr">
        <is>
          <t>Koltuk sa</t>
        </is>
      </c>
      <c r="B28" s="4" t="inlineStr">
        <is>
          <t>yısı,</t>
        </is>
      </c>
      <c r="C28" s="4" t="inlineStr">
        <is>
          <t>mn</t>
        </is>
      </c>
      <c r="D28" s="6" t="n">
        <v>1.45</v>
      </c>
      <c r="E28" s="6" t="n">
        <v>1.31</v>
      </c>
      <c r="F28" s="7" t="n">
        <v>0.11</v>
      </c>
      <c r="G28" s="6" t="n">
        <v>6.48</v>
      </c>
      <c r="H28" s="6" t="n">
        <v>6.08</v>
      </c>
      <c r="I28" s="7" t="n">
        <v>0.07000000000000001</v>
      </c>
    </row>
    <row r="30">
      <c r="A30" s="2" t="inlineStr">
        <is>
          <t>İç Hatlar</t>
        </is>
      </c>
    </row>
    <row r="31">
      <c r="A31" s="4" t="inlineStr">
        <is>
          <t>Doluluk</t>
        </is>
      </c>
      <c r="B31" s="4" t="inlineStr">
        <is>
          <t>Oranı</t>
        </is>
      </c>
      <c r="C31" s="7" t="n">
        <v>0.903</v>
      </c>
      <c r="D31" s="7" t="n">
        <v>0.9059999999999999</v>
      </c>
      <c r="E31" s="8" t="n">
        <v>-0.3</v>
      </c>
      <c r="F31" s="7" t="n">
        <v>0.9</v>
      </c>
      <c r="G31" s="7" t="n">
        <v>0.905</v>
      </c>
      <c r="H31" s="8" t="n">
        <v>-0.6</v>
      </c>
    </row>
    <row r="32">
      <c r="A32" s="4" t="inlineStr">
        <is>
          <t>ASK (ml</t>
        </is>
      </c>
      <c r="B32" s="4" t="inlineStr">
        <is>
          <t>n km)</t>
        </is>
      </c>
      <c r="C32" s="5" t="n">
        <v>1100</v>
      </c>
      <c r="D32" s="5" t="n">
        <v>972</v>
      </c>
      <c r="E32" s="7" t="n">
        <v>0.13</v>
      </c>
      <c r="F32" s="5" t="n">
        <v>4899</v>
      </c>
      <c r="G32" s="5" t="n">
        <v>4570</v>
      </c>
      <c r="H32" s="7" t="n">
        <v>0.07000000000000001</v>
      </c>
    </row>
    <row r="33">
      <c r="A33" s="4" t="inlineStr">
        <is>
          <t>Konma b</t>
        </is>
      </c>
      <c r="B33" s="4" t="inlineStr">
        <is>
          <t>aşına</t>
        </is>
      </c>
      <c r="C33" s="4" t="inlineStr">
        <is>
          <t>Misafir</t>
        </is>
      </c>
      <c r="D33" s="5" t="n">
        <v>196</v>
      </c>
      <c r="E33" s="5" t="n">
        <v>188</v>
      </c>
      <c r="F33" s="7" t="n">
        <v>0.04</v>
      </c>
      <c r="G33" s="5" t="n">
        <v>191</v>
      </c>
      <c r="H33" s="5" t="n">
        <v>184</v>
      </c>
      <c r="I33" s="7" t="n">
        <v>0.04</v>
      </c>
    </row>
    <row r="35">
      <c r="A35" s="4" t="inlineStr">
        <is>
          <t>Misafir s</t>
        </is>
      </c>
      <c r="B35" s="4" t="inlineStr">
        <is>
          <t>ayısı,</t>
        </is>
      </c>
      <c r="C35" s="4" t="inlineStr">
        <is>
          <t>mn</t>
        </is>
      </c>
      <c r="D35" s="6" t="n">
        <v>2.31</v>
      </c>
      <c r="E35" s="6" t="n">
        <v>1.98</v>
      </c>
      <c r="F35" s="7" t="n">
        <v>0.17</v>
      </c>
      <c r="G35" s="6" t="n">
        <v>10.27</v>
      </c>
      <c r="H35" s="6" t="n">
        <v>8.65</v>
      </c>
      <c r="I35" s="7" t="n">
        <v>0.19</v>
      </c>
    </row>
    <row r="37">
      <c r="A37" s="4" t="inlineStr">
        <is>
          <t>Konma</t>
        </is>
      </c>
      <c r="B37" s="5" t="n">
        <v>13299</v>
      </c>
      <c r="C37" s="5" t="n">
        <v>11158</v>
      </c>
      <c r="D37" s="7" t="n">
        <v>0.19</v>
      </c>
      <c r="E37" s="5" t="n">
        <v>58210</v>
      </c>
      <c r="F37" s="5" t="n">
        <v>48705</v>
      </c>
      <c r="G37" s="7" t="n">
        <v>0.2</v>
      </c>
    </row>
    <row r="39">
      <c r="A39" s="4" t="inlineStr">
        <is>
          <t>Koltuk sa</t>
        </is>
      </c>
      <c r="B39" s="4" t="inlineStr">
        <is>
          <t>yısı,</t>
        </is>
      </c>
      <c r="C39" s="4" t="inlineStr">
        <is>
          <t>mn</t>
        </is>
      </c>
      <c r="D39" s="6" t="n">
        <v>2.77</v>
      </c>
      <c r="E39" s="6" t="n">
        <v>2.3</v>
      </c>
      <c r="F39" s="7" t="n">
        <v>0.2</v>
      </c>
      <c r="G39" s="6" t="n">
        <v>12.19</v>
      </c>
      <c r="H39" s="6" t="n">
        <v>10.1</v>
      </c>
      <c r="I39" s="7" t="n">
        <v>0.21</v>
      </c>
    </row>
    <row r="41">
      <c r="A41" s="2" t="inlineStr">
        <is>
          <t>Dış Hatlar*</t>
        </is>
      </c>
    </row>
    <row r="42">
      <c r="A42" s="4" t="inlineStr">
        <is>
          <t>Doluluk</t>
        </is>
      </c>
      <c r="B42" s="4" t="inlineStr">
        <is>
          <t>Oranı</t>
        </is>
      </c>
      <c r="C42" s="7" t="n">
        <v>0.836</v>
      </c>
      <c r="D42" s="7" t="n">
        <v>0.858</v>
      </c>
      <c r="E42" s="8" t="n">
        <v>-2.2</v>
      </c>
      <c r="F42" s="7" t="n">
        <v>0.8420000000000001</v>
      </c>
      <c r="G42" s="7" t="n">
        <v>0.856</v>
      </c>
      <c r="H42" s="8" t="n">
        <v>-1.5</v>
      </c>
    </row>
    <row r="43">
      <c r="A43" s="4" t="inlineStr">
        <is>
          <t>ASK (ml</t>
        </is>
      </c>
      <c r="B43" s="4" t="inlineStr">
        <is>
          <t>n km)</t>
        </is>
      </c>
      <c r="C43" s="5" t="n">
        <v>5637</v>
      </c>
      <c r="D43" s="5" t="n">
        <v>4760</v>
      </c>
      <c r="E43" s="7" t="n">
        <v>0.18</v>
      </c>
      <c r="F43" s="5" t="n">
        <v>24277</v>
      </c>
      <c r="G43" s="5" t="n">
        <v>20489</v>
      </c>
      <c r="H43" s="7" t="n">
        <v>0.18</v>
      </c>
    </row>
    <row r="44">
      <c r="A44" s="4" t="inlineStr">
        <is>
          <t>Konma b</t>
        </is>
      </c>
      <c r="B44" s="4" t="inlineStr">
        <is>
          <t>aşına</t>
        </is>
      </c>
      <c r="C44" s="4" t="inlineStr">
        <is>
          <t>Misafir</t>
        </is>
      </c>
      <c r="D44" s="5" t="n">
        <v>174</v>
      </c>
      <c r="E44" s="5" t="n">
        <v>177</v>
      </c>
      <c r="F44" s="7" t="n">
        <v>-0.02</v>
      </c>
      <c r="G44" s="5" t="n">
        <v>176</v>
      </c>
      <c r="H44" s="5" t="n">
        <v>178</v>
      </c>
      <c r="I44" s="7" t="n">
        <v>-0.01</v>
      </c>
    </row>
    <row r="46">
      <c r="A46" s="2" t="inlineStr">
        <is>
          <t>* Charter dahil</t>
        </is>
      </c>
    </row>
    <row r="48">
      <c r="A48" s="4" t="inlineStr">
        <is>
          <t>Karbon Emisy</t>
        </is>
      </c>
      <c r="B48" s="4" t="inlineStr">
        <is>
          <t>onu İstat</t>
        </is>
      </c>
      <c r="C48" s="4" t="inlineStr">
        <is>
          <t>istikle</t>
        </is>
      </c>
      <c r="D48" s="4" t="inlineStr">
        <is>
          <t>ri</t>
        </is>
      </c>
    </row>
    <row r="50">
      <c r="A50" s="3" t="inlineStr">
        <is>
          <t>AYLIK</t>
        </is>
      </c>
      <c r="B50" s="3" t="inlineStr">
        <is>
          <t>2025</t>
        </is>
      </c>
      <c r="C50" s="3" t="inlineStr">
        <is>
          <t>2024</t>
        </is>
      </c>
      <c r="D50" s="3" t="inlineStr">
        <is>
          <t>KÜMÜLATİF</t>
        </is>
      </c>
      <c r="E50" s="3" t="inlineStr">
        <is>
          <t>2025</t>
        </is>
      </c>
      <c r="F50" s="3" t="inlineStr">
        <is>
          <t>2024</t>
        </is>
      </c>
    </row>
    <row r="52">
      <c r="A52" s="4" t="inlineStr">
        <is>
          <t>CO2 gram/RPK</t>
        </is>
      </c>
      <c r="B52" s="4" t="inlineStr">
        <is>
          <t>Ocak</t>
        </is>
      </c>
      <c r="C52" s="6" t="n">
        <v>58.2</v>
      </c>
      <c r="D52" s="6" t="n">
        <v>60.2</v>
      </c>
      <c r="E52" s="4" t="inlineStr">
        <is>
          <t>1A</t>
        </is>
      </c>
      <c r="F52" s="6" t="n">
        <v>58.2</v>
      </c>
      <c r="G52" s="6" t="n">
        <v>60.2</v>
      </c>
    </row>
    <row r="54">
      <c r="A54" s="4" t="inlineStr">
        <is>
          <t>Şubat</t>
        </is>
      </c>
      <c r="B54" s="6" t="n">
        <v>55.5</v>
      </c>
      <c r="C54" s="6" t="n">
        <v>57.2</v>
      </c>
      <c r="D54" s="4" t="inlineStr">
        <is>
          <t>2A</t>
        </is>
      </c>
      <c r="E54" s="6" t="n">
        <v>56.9</v>
      </c>
      <c r="F54" s="6" t="n">
        <v>58.7</v>
      </c>
    </row>
    <row r="56">
      <c r="A56" s="4" t="inlineStr">
        <is>
          <t>Mart</t>
        </is>
      </c>
      <c r="B56" s="6" t="n">
        <v>57.5</v>
      </c>
      <c r="C56" s="6" t="n">
        <v>57.2</v>
      </c>
      <c r="D56" s="4" t="inlineStr">
        <is>
          <t>3A</t>
        </is>
      </c>
      <c r="E56" s="6" t="n">
        <v>57.1</v>
      </c>
      <c r="F56" s="6" t="n">
        <v>58.2</v>
      </c>
    </row>
    <row r="58">
      <c r="A58" s="4" t="inlineStr">
        <is>
          <t>Nisan</t>
        </is>
      </c>
      <c r="B58" s="6" t="n">
        <v>56.8</v>
      </c>
      <c r="C58" s="6" t="n">
        <v>57.2</v>
      </c>
      <c r="D58" s="4" t="inlineStr">
        <is>
          <t>4A</t>
        </is>
      </c>
      <c r="E58" s="5" t="n">
        <v>57</v>
      </c>
      <c r="F58" s="6" t="n">
        <v>57.9</v>
      </c>
    </row>
    <row r="60">
      <c r="A60" s="4" t="inlineStr">
        <is>
          <t>Mayıs</t>
        </is>
      </c>
      <c r="B60" s="6" t="n">
        <v>57.8</v>
      </c>
      <c r="C60" s="6" t="n">
        <v>57.9</v>
      </c>
      <c r="D60" s="4" t="inlineStr">
        <is>
          <t>5A</t>
        </is>
      </c>
      <c r="E60" s="6" t="n">
        <v>57.2</v>
      </c>
      <c r="F60" s="6" t="n">
        <v>57.9</v>
      </c>
    </row>
    <row r="62">
      <c r="A62" s="3" t="inlineStr">
        <is>
          <t>YILLIK</t>
        </is>
      </c>
      <c r="B62" s="3" t="inlineStr">
        <is>
          <t>2019</t>
        </is>
      </c>
      <c r="C62" s="3" t="inlineStr">
        <is>
          <t>2020</t>
        </is>
      </c>
      <c r="D62" s="3" t="inlineStr">
        <is>
          <t>2021</t>
        </is>
      </c>
      <c r="E62" s="3" t="inlineStr">
        <is>
          <t>2022</t>
        </is>
      </c>
      <c r="F62" s="3" t="inlineStr">
        <is>
          <t>2023</t>
        </is>
      </c>
      <c r="G62" s="3" t="inlineStr">
        <is>
          <t>2024</t>
        </is>
      </c>
    </row>
    <row r="64">
      <c r="A64" s="4" t="inlineStr">
        <is>
          <t>CO2 gram/RPK</t>
        </is>
      </c>
      <c r="B64" s="6" t="n">
        <v>65.09999999999999</v>
      </c>
      <c r="C64" s="6" t="n">
        <v>71.3</v>
      </c>
      <c r="D64" s="5" t="n">
        <v>71</v>
      </c>
      <c r="E64" s="6" t="n">
        <v>62.1</v>
      </c>
      <c r="F64" s="6" t="n">
        <v>61.3</v>
      </c>
      <c r="G64" s="6" t="n">
        <v>58.3</v>
      </c>
    </row>
    <row r="65">
      <c r="A65" s="4" t="inlineStr">
        <is>
          <t>Karbon Emisyonu İsta</t>
        </is>
      </c>
      <c r="B65" s="4" t="inlineStr">
        <is>
          <t>tistiklerinde</t>
        </is>
      </c>
      <c r="C65" s="4" t="inlineStr">
        <is>
          <t>(grCO2/</t>
        </is>
      </c>
      <c r="D65" s="4" t="inlineStr">
        <is>
          <t>RPK) jet yakıtı emisyon</t>
        </is>
      </c>
      <c r="E65" s="4" t="inlineStr">
        <is>
          <t>katsayısı baz yıl ve</t>
        </is>
      </c>
      <c r="F65" s="4" t="inlineStr">
        <is>
          <t>tüm raporlanan dö</t>
        </is>
      </c>
      <c r="G65" s="4" t="inlineStr">
        <is>
          <t>nemler için 3,16</t>
        </is>
      </c>
      <c r="H65" s="4" t="inlineStr">
        <is>
          <t>olarak kullanılmıştır.</t>
        </is>
      </c>
    </row>
    <row r="67">
      <c r="A67" s="4" t="inlineStr">
        <is>
          <t>Arz edilen Koltuk K</t>
        </is>
      </c>
      <c r="B67" s="4" t="inlineStr">
        <is>
          <t>ilometre (</t>
        </is>
      </c>
      <c r="C67" s="4" t="inlineStr">
        <is>
          <t>ASK) =</t>
        </is>
      </c>
      <c r="D67" s="4" t="inlineStr">
        <is>
          <t>Uçuşa arz edilen kol</t>
        </is>
      </c>
      <c r="E67" s="4" t="inlineStr">
        <is>
          <t>tuk sayısı x Ortal</t>
        </is>
      </c>
      <c r="F67" s="4" t="inlineStr">
        <is>
          <t>ama Uçuş Mesaf</t>
        </is>
      </c>
      <c r="G67" s="4" t="inlineStr">
        <is>
          <t>esi</t>
        </is>
      </c>
    </row>
    <row r="69">
      <c r="A69" s="4" t="inlineStr">
        <is>
          <t>Doluluk Oranı = Bil</t>
        </is>
      </c>
      <c r="B69" s="4" t="inlineStr">
        <is>
          <t>etlenmiş</t>
        </is>
      </c>
      <c r="C69" s="4" t="inlineStr">
        <is>
          <t>misafir s</t>
        </is>
      </c>
      <c r="D69" s="4" t="inlineStr">
        <is>
          <t>ayısı / Toplam koltu</t>
        </is>
      </c>
      <c r="E69" s="4" t="inlineStr">
        <is>
          <t>k sayısı</t>
        </is>
      </c>
    </row>
    <row r="71">
      <c r="A71" s="4" t="inlineStr">
        <is>
          <t>RPK (Revenue Pass</t>
        </is>
      </c>
      <c r="B71" s="4" t="inlineStr">
        <is>
          <t>enger Kilo</t>
        </is>
      </c>
      <c r="C71" s="4" t="inlineStr">
        <is>
          <t>meter)</t>
        </is>
      </c>
      <c r="D71" s="4" t="inlineStr">
        <is>
          <t>: Ücretli Yolcu Kilom</t>
        </is>
      </c>
      <c r="E71" s="4" t="inlineStr">
        <is>
          <t>etre</t>
        </is>
      </c>
    </row>
  </sheetData>
  <mergeCells count="4">
    <mergeCell ref="A17:I17"/>
    <mergeCell ref="A46:I46"/>
    <mergeCell ref="A41:I41"/>
    <mergeCell ref="A30:I30"/>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77"/>
  <sheetViews>
    <sheetView workbookViewId="0">
      <selection activeCell="A1" sqref="A1"/>
    </sheetView>
  </sheetViews>
  <sheetFormatPr baseColWidth="8" defaultRowHeight="15"/>
  <cols>
    <col width="19" customWidth="1" min="1" max="1"/>
    <col width="14" customWidth="1" min="2" max="2"/>
    <col width="12" customWidth="1" min="3" max="3"/>
    <col width="19" customWidth="1" min="4" max="4"/>
    <col width="25" customWidth="1" min="5" max="5"/>
    <col width="12" customWidth="1" min="6" max="6"/>
    <col width="20" customWidth="1" min="7" max="7"/>
    <col width="14" customWidth="1" min="8" max="8"/>
    <col width="16" customWidth="1" min="9" max="9"/>
    <col width="14" customWidth="1" min="10" max="10"/>
    <col width="13" customWidth="1" min="11" max="11"/>
    <col width="12" customWidth="1" min="12" max="12"/>
    <col width="18" customWidth="1" min="13" max="13"/>
    <col width="12" customWidth="1" min="14" max="14"/>
    <col width="12" customWidth="1" min="15" max="15"/>
    <col width="15" customWidth="1" min="16" max="16"/>
    <col width="12" customWidth="1" min="17" max="17"/>
    <col width="12" customWidth="1" min="18" max="18"/>
  </cols>
  <sheetData>
    <row r="1">
      <c r="A1" s="4" t="inlineStr">
        <is>
          <t>P E G A S U</t>
        </is>
      </c>
      <c r="B1" s="4" t="inlineStr">
        <is>
          <t>S H A V A</t>
        </is>
      </c>
      <c r="C1" s="4" t="inlineStr">
        <is>
          <t>T A</t>
        </is>
      </c>
      <c r="D1" s="4" t="inlineStr">
        <is>
          <t>Ş I</t>
        </is>
      </c>
      <c r="E1" s="4" t="inlineStr">
        <is>
          <t>M A C I L I Ğ I</t>
        </is>
      </c>
      <c r="F1" s="4" t="inlineStr">
        <is>
          <t>A . Ş</t>
        </is>
      </c>
      <c r="G1" s="4" t="inlineStr">
        <is>
          <t>.</t>
        </is>
      </c>
    </row>
    <row r="3">
      <c r="A3" s="4" t="inlineStr">
        <is>
          <t>H A Z İ R A</t>
        </is>
      </c>
      <c r="B3" s="4" t="inlineStr">
        <is>
          <t>N 2 0 2 5 T</t>
        </is>
      </c>
      <c r="C3" s="4" t="inlineStr">
        <is>
          <t>R A</t>
        </is>
      </c>
      <c r="D3" s="4" t="inlineStr">
        <is>
          <t>F İ</t>
        </is>
      </c>
      <c r="E3" s="4" t="inlineStr">
        <is>
          <t>K S O N U Ç L</t>
        </is>
      </c>
      <c r="F3" s="4" t="inlineStr">
        <is>
          <t>A R</t>
        </is>
      </c>
      <c r="G3" s="4" t="inlineStr">
        <is>
          <t>I</t>
        </is>
      </c>
    </row>
    <row r="5">
      <c r="A5" s="4" t="inlineStr">
        <is>
          <t>A Y L I</t>
        </is>
      </c>
      <c r="B5" s="4" t="inlineStr">
        <is>
          <t>K</t>
        </is>
      </c>
      <c r="C5" s="4" t="inlineStr">
        <is>
          <t>K Ü</t>
        </is>
      </c>
      <c r="D5" s="4" t="inlineStr">
        <is>
          <t>M Ü</t>
        </is>
      </c>
      <c r="E5" s="4" t="inlineStr">
        <is>
          <t>L A T İ F</t>
        </is>
      </c>
    </row>
    <row r="7">
      <c r="A7" s="4" t="inlineStr">
        <is>
          <t>H a z i r a n</t>
        </is>
      </c>
      <c r="B7" s="4" t="inlineStr">
        <is>
          <t>H a z i r</t>
        </is>
      </c>
      <c r="C7" s="4" t="inlineStr">
        <is>
          <t>a n</t>
        </is>
      </c>
      <c r="D7" s="4" t="inlineStr">
        <is>
          <t>' 2</t>
        </is>
      </c>
      <c r="E7" s="4" t="inlineStr">
        <is>
          <t>5 /</t>
        </is>
      </c>
      <c r="F7" s="4" t="inlineStr">
        <is>
          <t>' 2 4 O</t>
        </is>
      </c>
      <c r="G7" s="4" t="inlineStr">
        <is>
          <t>c</t>
        </is>
      </c>
      <c r="H7" s="4" t="inlineStr">
        <is>
          <t>a . -</t>
        </is>
      </c>
      <c r="I7" s="4" t="inlineStr">
        <is>
          <t>H a z . O</t>
        </is>
      </c>
      <c r="J7" s="4" t="inlineStr">
        <is>
          <t>c a . -</t>
        </is>
      </c>
      <c r="K7" s="4" t="inlineStr">
        <is>
          <t>H a z . ' 2</t>
        </is>
      </c>
      <c r="L7" s="4" t="inlineStr">
        <is>
          <t>5 /</t>
        </is>
      </c>
      <c r="M7" s="4" t="inlineStr">
        <is>
          <t>' 2</t>
        </is>
      </c>
    </row>
    <row r="9">
      <c r="A9" s="4" t="inlineStr">
        <is>
          <t>2 0 2 5</t>
        </is>
      </c>
      <c r="B9" s="5" t="n">
        <v>202</v>
      </c>
      <c r="C9" s="5" t="n">
        <v>4</v>
      </c>
      <c r="D9" s="4" t="inlineStr">
        <is>
          <t>%</t>
        </is>
      </c>
      <c r="E9" s="4" t="inlineStr">
        <is>
          <t>D</t>
        </is>
      </c>
      <c r="F9" s="4" t="inlineStr">
        <is>
          <t>e ğ .</t>
        </is>
      </c>
      <c r="G9" s="5" t="n">
        <v>2</v>
      </c>
      <c r="H9" s="5" t="n">
        <v>2</v>
      </c>
      <c r="I9" s="5" t="n">
        <v>5</v>
      </c>
      <c r="J9" s="5" t="n">
        <v>202</v>
      </c>
      <c r="K9" s="7" t="n">
        <v>0.04</v>
      </c>
      <c r="L9" s="4" t="inlineStr">
        <is>
          <t>D</t>
        </is>
      </c>
      <c r="M9" s="4" t="inlineStr">
        <is>
          <t>e ğ</t>
        </is>
      </c>
    </row>
    <row r="11">
      <c r="A11" s="4" t="inlineStr">
        <is>
          <t>M</t>
        </is>
      </c>
      <c r="B11" s="4" t="inlineStr">
        <is>
          <t>i s</t>
        </is>
      </c>
      <c r="C11" s="4" t="inlineStr">
        <is>
          <t>a f i</t>
        </is>
      </c>
      <c r="D11" s="4" t="inlineStr">
        <is>
          <t>r s a y ı s ı , m</t>
        </is>
      </c>
      <c r="E11" s="4" t="inlineStr">
        <is>
          <t>n</t>
        </is>
      </c>
      <c r="F11" s="6" t="n">
        <v>3.61</v>
      </c>
      <c r="G11" s="6" t="n">
        <v>3.2</v>
      </c>
      <c r="H11" s="5" t="n">
        <v>7</v>
      </c>
      <c r="I11" s="5" t="n">
        <v>1</v>
      </c>
      <c r="J11" s="5" t="n">
        <v>0</v>
      </c>
      <c r="K11" s="4" t="inlineStr">
        <is>
          <t>%</t>
        </is>
      </c>
      <c r="L11" s="5" t="n">
        <v>1</v>
      </c>
      <c r="M11" s="6" t="n">
        <v>9.699999999999999</v>
      </c>
      <c r="N11" s="5" t="n">
        <v>1</v>
      </c>
      <c r="O11" s="6" t="n">
        <v>17.4</v>
      </c>
      <c r="P11" s="5" t="n">
        <v>3</v>
      </c>
      <c r="Q11" s="5" t="n">
        <v>13</v>
      </c>
      <c r="R11" s="4" t="inlineStr">
        <is>
          <t>%</t>
        </is>
      </c>
    </row>
    <row r="13">
      <c r="A13" s="4" t="inlineStr">
        <is>
          <t>K</t>
        </is>
      </c>
      <c r="B13" s="4" t="inlineStr">
        <is>
          <t>o n</t>
        </is>
      </c>
      <c r="C13" s="4" t="inlineStr">
        <is>
          <t>m</t>
        </is>
      </c>
      <c r="D13" s="4" t="inlineStr">
        <is>
          <t>a</t>
        </is>
      </c>
      <c r="E13" s="5" t="n">
        <v>19794</v>
      </c>
      <c r="F13" s="6" t="n">
        <v>18.2</v>
      </c>
      <c r="G13" s="5" t="n">
        <v>31</v>
      </c>
      <c r="H13" s="7" t="n">
        <v>0.09</v>
      </c>
      <c r="I13" s="5" t="n">
        <v>1</v>
      </c>
      <c r="J13" s="5" t="n">
        <v>0</v>
      </c>
      <c r="K13" s="6" t="n">
        <v>8.5</v>
      </c>
      <c r="L13" s="5" t="n">
        <v>53</v>
      </c>
      <c r="M13" s="6" t="n">
        <v>96.8</v>
      </c>
      <c r="N13" s="5" t="n">
        <v>54</v>
      </c>
      <c r="O13" s="5" t="n">
        <v>12</v>
      </c>
      <c r="P13" s="4" t="inlineStr">
        <is>
          <t>%</t>
        </is>
      </c>
    </row>
    <row r="15">
      <c r="A15" s="4" t="inlineStr">
        <is>
          <t>K</t>
        </is>
      </c>
      <c r="B15" s="4" t="inlineStr">
        <is>
          <t>o lt</t>
        </is>
      </c>
      <c r="C15" s="4" t="inlineStr">
        <is>
          <t>u k</t>
        </is>
      </c>
      <c r="D15" s="4" t="inlineStr">
        <is>
          <t>s a y ı s ı , m n</t>
        </is>
      </c>
      <c r="E15" s="6" t="n">
        <v>4.17</v>
      </c>
      <c r="F15" s="6" t="n">
        <v>3.7</v>
      </c>
      <c r="G15" s="5" t="n">
        <v>8</v>
      </c>
      <c r="H15" s="5" t="n">
        <v>1</v>
      </c>
      <c r="I15" s="5" t="n">
        <v>0</v>
      </c>
      <c r="J15" s="4" t="inlineStr">
        <is>
          <t>%</t>
        </is>
      </c>
      <c r="K15" s="5" t="n">
        <v>2</v>
      </c>
      <c r="L15" s="6" t="n">
        <v>2.8</v>
      </c>
      <c r="M15" s="5" t="n">
        <v>5</v>
      </c>
      <c r="N15" s="6" t="n">
        <v>19.9</v>
      </c>
      <c r="O15" s="5" t="n">
        <v>5</v>
      </c>
      <c r="P15" s="5" t="n">
        <v>15</v>
      </c>
      <c r="Q15" s="4" t="inlineStr">
        <is>
          <t>%</t>
        </is>
      </c>
    </row>
    <row r="17">
      <c r="A17" s="2" t="inlineStr">
        <is>
          <t>T o p l a m</t>
        </is>
      </c>
    </row>
    <row r="18">
      <c r="A18" s="4" t="inlineStr">
        <is>
          <t>D</t>
        </is>
      </c>
      <c r="B18" s="4" t="inlineStr">
        <is>
          <t>o l</t>
        </is>
      </c>
      <c r="C18" s="4" t="inlineStr">
        <is>
          <t>u l</t>
        </is>
      </c>
      <c r="D18" s="4" t="inlineStr">
        <is>
          <t>u k O r a n ı</t>
        </is>
      </c>
      <c r="E18" s="7" t="n">
        <v>0.866</v>
      </c>
      <c r="F18" s="6" t="n">
        <v>86.7</v>
      </c>
      <c r="G18" s="4" t="inlineStr">
        <is>
          <t>%</t>
        </is>
      </c>
      <c r="H18" s="4" t="inlineStr">
        <is>
          <t>-</t>
        </is>
      </c>
      <c r="I18" s="6" t="n">
        <v>0.1</v>
      </c>
      <c r="J18" s="4" t="inlineStr">
        <is>
          <t>p</t>
        </is>
      </c>
      <c r="K18" s="5" t="n">
        <v>8</v>
      </c>
      <c r="L18" s="6" t="n">
        <v>6.3</v>
      </c>
      <c r="M18" s="4" t="inlineStr">
        <is>
          <t>%</t>
        </is>
      </c>
      <c r="N18" s="6" t="n">
        <v>87.3</v>
      </c>
      <c r="O18" s="4" t="inlineStr">
        <is>
          <t>% -</t>
        </is>
      </c>
      <c r="P18" s="5" t="n">
        <v>1</v>
      </c>
      <c r="Q18" s="8" t="n">
        <v>1</v>
      </c>
    </row>
    <row r="20">
      <c r="A20" s="4" t="inlineStr">
        <is>
          <t>A</t>
        </is>
      </c>
      <c r="B20" s="4" t="inlineStr">
        <is>
          <t>S</t>
        </is>
      </c>
      <c r="C20" s="4" t="inlineStr">
        <is>
          <t>K (</t>
        </is>
      </c>
      <c r="D20" s="4" t="inlineStr">
        <is>
          <t>m ln k m )</t>
        </is>
      </c>
      <c r="E20" s="5" t="n">
        <v>6799</v>
      </c>
      <c r="F20" s="6" t="n">
        <v>6.02</v>
      </c>
      <c r="G20" s="5" t="n">
        <v>9</v>
      </c>
      <c r="H20" s="5" t="n">
        <v>1</v>
      </c>
      <c r="I20" s="5" t="n">
        <v>3</v>
      </c>
      <c r="J20" s="4" t="inlineStr">
        <is>
          <t>%</t>
        </is>
      </c>
      <c r="K20" s="5" t="n">
        <v>3</v>
      </c>
      <c r="L20" s="6" t="n">
        <v>5.9</v>
      </c>
      <c r="M20" s="5" t="n">
        <v>75</v>
      </c>
      <c r="N20" s="5" t="n">
        <v>31</v>
      </c>
      <c r="O20" s="5" t="n">
        <v>88</v>
      </c>
      <c r="P20" s="5" t="n">
        <v>16</v>
      </c>
      <c r="Q20" s="4" t="inlineStr">
        <is>
          <t>%</t>
        </is>
      </c>
    </row>
    <row r="22">
      <c r="A22" s="4" t="inlineStr">
        <is>
          <t>K</t>
        </is>
      </c>
      <c r="B22" s="4" t="inlineStr">
        <is>
          <t>o n</t>
        </is>
      </c>
      <c r="C22" s="4" t="inlineStr">
        <is>
          <t>m</t>
        </is>
      </c>
      <c r="D22" s="4" t="inlineStr">
        <is>
          <t>a b a ş ı n a M</t>
        </is>
      </c>
      <c r="E22" s="4" t="inlineStr">
        <is>
          <t>i s a</t>
        </is>
      </c>
      <c r="F22" s="4" t="inlineStr">
        <is>
          <t>f i r</t>
        </is>
      </c>
      <c r="G22" s="5" t="n">
        <v>183</v>
      </c>
      <c r="H22" s="5" t="n">
        <v>180</v>
      </c>
      <c r="I22" s="7" t="n">
        <v>0.02</v>
      </c>
      <c r="J22" s="5" t="n">
        <v>18</v>
      </c>
      <c r="K22" s="5" t="n">
        <v>2</v>
      </c>
      <c r="L22" s="5" t="n">
        <v>18</v>
      </c>
      <c r="M22" s="5" t="n">
        <v>0</v>
      </c>
      <c r="N22" s="5" t="n">
        <v>1</v>
      </c>
      <c r="O22" s="4" t="inlineStr">
        <is>
          <t>%</t>
        </is>
      </c>
    </row>
    <row r="24">
      <c r="A24" s="4" t="inlineStr">
        <is>
          <t>M</t>
        </is>
      </c>
      <c r="B24" s="4" t="inlineStr">
        <is>
          <t>i s</t>
        </is>
      </c>
      <c r="C24" s="4" t="inlineStr">
        <is>
          <t>a f i</t>
        </is>
      </c>
      <c r="D24" s="4" t="inlineStr">
        <is>
          <t>r s a y ı s ı , m</t>
        </is>
      </c>
      <c r="E24" s="4" t="inlineStr">
        <is>
          <t>n</t>
        </is>
      </c>
      <c r="F24" s="6" t="n">
        <v>1.29</v>
      </c>
      <c r="G24" s="6" t="n">
        <v>1.2</v>
      </c>
      <c r="H24" s="5" t="n">
        <v>0</v>
      </c>
      <c r="I24" s="7" t="n">
        <v>0.07000000000000001</v>
      </c>
      <c r="J24" s="6" t="n">
        <v>7.1</v>
      </c>
      <c r="K24" s="5" t="n">
        <v>2</v>
      </c>
      <c r="L24" s="6" t="n">
        <v>6.7</v>
      </c>
      <c r="M24" s="5" t="n">
        <v>0</v>
      </c>
      <c r="N24" s="5" t="n">
        <v>6</v>
      </c>
      <c r="O24" s="4" t="inlineStr">
        <is>
          <t>%</t>
        </is>
      </c>
    </row>
    <row r="26">
      <c r="A26" s="4" t="inlineStr">
        <is>
          <t>K</t>
        </is>
      </c>
      <c r="B26" s="4" t="inlineStr">
        <is>
          <t>o n</t>
        </is>
      </c>
      <c r="C26" s="4" t="inlineStr">
        <is>
          <t>m</t>
        </is>
      </c>
      <c r="D26" s="4" t="inlineStr">
        <is>
          <t>a</t>
        </is>
      </c>
      <c r="E26" s="5" t="n">
        <v>6460</v>
      </c>
      <c r="F26" s="6" t="n">
        <v>6.28</v>
      </c>
      <c r="G26" s="5" t="n">
        <v>8</v>
      </c>
      <c r="H26" s="7" t="n">
        <v>0.03</v>
      </c>
      <c r="I26" s="5" t="n">
        <v>3</v>
      </c>
      <c r="J26" s="5" t="n">
        <v>7</v>
      </c>
      <c r="K26" s="5" t="n">
        <v>9</v>
      </c>
      <c r="L26" s="6" t="n">
        <v>36.2</v>
      </c>
      <c r="M26" s="5" t="n">
        <v>6</v>
      </c>
      <c r="N26" s="5" t="n">
        <v>2</v>
      </c>
      <c r="O26" s="4" t="inlineStr">
        <is>
          <t>%</t>
        </is>
      </c>
    </row>
    <row r="28">
      <c r="A28" s="4" t="inlineStr">
        <is>
          <t>K</t>
        </is>
      </c>
      <c r="B28" s="4" t="inlineStr">
        <is>
          <t>o lt</t>
        </is>
      </c>
      <c r="C28" s="4" t="inlineStr">
        <is>
          <t>u k</t>
        </is>
      </c>
      <c r="D28" s="4" t="inlineStr">
        <is>
          <t>s a y ı s ı , m n</t>
        </is>
      </c>
      <c r="E28" s="6" t="n">
        <v>1.4</v>
      </c>
      <c r="F28" s="6" t="n">
        <v>1.3</v>
      </c>
      <c r="G28" s="5" t="n">
        <v>1</v>
      </c>
      <c r="H28" s="7" t="n">
        <v>0.07000000000000001</v>
      </c>
      <c r="I28" s="6" t="n">
        <v>7.8</v>
      </c>
      <c r="J28" s="5" t="n">
        <v>9</v>
      </c>
      <c r="K28" s="6" t="n">
        <v>7.3</v>
      </c>
      <c r="L28" s="5" t="n">
        <v>9</v>
      </c>
      <c r="M28" s="5" t="n">
        <v>7</v>
      </c>
      <c r="N28" s="4" t="inlineStr">
        <is>
          <t>%</t>
        </is>
      </c>
    </row>
    <row r="30">
      <c r="A30" s="2" t="inlineStr">
        <is>
          <t>İ ç H a t l a r</t>
        </is>
      </c>
    </row>
    <row r="31">
      <c r="A31" s="4" t="inlineStr">
        <is>
          <t>D</t>
        </is>
      </c>
      <c r="B31" s="4" t="inlineStr">
        <is>
          <t>o l</t>
        </is>
      </c>
      <c r="C31" s="4" t="inlineStr">
        <is>
          <t>u l</t>
        </is>
      </c>
      <c r="D31" s="4" t="inlineStr">
        <is>
          <t>u k O r a n ı</t>
        </is>
      </c>
      <c r="E31" s="7" t="n">
        <v>0.9159999999999999</v>
      </c>
      <c r="F31" s="6" t="n">
        <v>91.8</v>
      </c>
      <c r="G31" s="4" t="inlineStr">
        <is>
          <t>%</t>
        </is>
      </c>
      <c r="H31" s="4" t="inlineStr">
        <is>
          <t>-</t>
        </is>
      </c>
      <c r="I31" s="6" t="n">
        <v>0.2</v>
      </c>
      <c r="J31" s="4" t="inlineStr">
        <is>
          <t>p</t>
        </is>
      </c>
      <c r="K31" s="5" t="n">
        <v>9</v>
      </c>
      <c r="L31" s="6" t="n">
        <v>0.3</v>
      </c>
      <c r="M31" s="4" t="inlineStr">
        <is>
          <t>%</t>
        </is>
      </c>
      <c r="N31" s="6" t="n">
        <v>90.8</v>
      </c>
      <c r="O31" s="4" t="inlineStr">
        <is>
          <t>% -</t>
        </is>
      </c>
      <c r="P31" s="5" t="n">
        <v>0</v>
      </c>
      <c r="Q31" s="8" t="n">
        <v>5</v>
      </c>
    </row>
    <row r="33">
      <c r="A33" s="4" t="inlineStr">
        <is>
          <t>A</t>
        </is>
      </c>
      <c r="B33" s="4" t="inlineStr">
        <is>
          <t>S</t>
        </is>
      </c>
      <c r="C33" s="4" t="inlineStr">
        <is>
          <t>K (</t>
        </is>
      </c>
      <c r="D33" s="4" t="inlineStr">
        <is>
          <t>m ln k m )</t>
        </is>
      </c>
      <c r="E33" s="5" t="n">
        <v>1062</v>
      </c>
      <c r="F33" s="5" t="n">
        <v>963</v>
      </c>
      <c r="G33" s="5" t="n">
        <v>1</v>
      </c>
      <c r="H33" s="5" t="n">
        <v>0</v>
      </c>
      <c r="I33" s="4" t="inlineStr">
        <is>
          <t>%</t>
        </is>
      </c>
      <c r="J33" s="5" t="n">
        <v>5</v>
      </c>
      <c r="K33" s="6" t="n">
        <v>0.96</v>
      </c>
      <c r="L33" s="5" t="n">
        <v>1</v>
      </c>
      <c r="M33" s="6" t="n">
        <v>5.53</v>
      </c>
      <c r="N33" s="5" t="n">
        <v>2</v>
      </c>
      <c r="O33" s="5" t="n">
        <v>8</v>
      </c>
      <c r="P33" s="4" t="inlineStr">
        <is>
          <t>%</t>
        </is>
      </c>
    </row>
    <row r="35">
      <c r="A35" s="4" t="inlineStr">
        <is>
          <t>K</t>
        </is>
      </c>
      <c r="B35" s="4" t="inlineStr">
        <is>
          <t>o n</t>
        </is>
      </c>
      <c r="C35" s="4" t="inlineStr">
        <is>
          <t>m</t>
        </is>
      </c>
      <c r="D35" s="4" t="inlineStr">
        <is>
          <t>a b a ş ı n a M</t>
        </is>
      </c>
      <c r="E35" s="4" t="inlineStr">
        <is>
          <t>i s a</t>
        </is>
      </c>
      <c r="F35" s="4" t="inlineStr">
        <is>
          <t>f i r</t>
        </is>
      </c>
      <c r="G35" s="5" t="n">
        <v>199</v>
      </c>
      <c r="H35" s="5" t="n">
        <v>191</v>
      </c>
      <c r="I35" s="7" t="n">
        <v>0.04</v>
      </c>
      <c r="J35" s="5" t="n">
        <v>19</v>
      </c>
      <c r="K35" s="5" t="n">
        <v>2</v>
      </c>
      <c r="L35" s="5" t="n">
        <v>18</v>
      </c>
      <c r="M35" s="5" t="n">
        <v>5</v>
      </c>
      <c r="N35" s="5" t="n">
        <v>4</v>
      </c>
      <c r="O35" s="4" t="inlineStr">
        <is>
          <t>%</t>
        </is>
      </c>
    </row>
    <row r="37">
      <c r="A37" s="4" t="inlineStr">
        <is>
          <t>M</t>
        </is>
      </c>
      <c r="B37" s="4" t="inlineStr">
        <is>
          <t>i s</t>
        </is>
      </c>
      <c r="C37" s="4" t="inlineStr">
        <is>
          <t>a f i</t>
        </is>
      </c>
      <c r="D37" s="4" t="inlineStr">
        <is>
          <t>r s a y ı s ı , m</t>
        </is>
      </c>
      <c r="E37" s="4" t="inlineStr">
        <is>
          <t>n</t>
        </is>
      </c>
      <c r="F37" s="6" t="n">
        <v>2.33</v>
      </c>
      <c r="G37" s="5" t="n">
        <v>2</v>
      </c>
      <c r="H37" s="5" t="n">
        <v>7</v>
      </c>
      <c r="I37" s="5" t="n">
        <v>1</v>
      </c>
      <c r="J37" s="5" t="n">
        <v>2</v>
      </c>
      <c r="K37" s="4" t="inlineStr">
        <is>
          <t>%</t>
        </is>
      </c>
      <c r="L37" s="5" t="n">
        <v>1</v>
      </c>
      <c r="M37" s="6" t="n">
        <v>2.5</v>
      </c>
      <c r="N37" s="5" t="n">
        <v>9</v>
      </c>
      <c r="O37" s="6" t="n">
        <v>10.7</v>
      </c>
      <c r="P37" s="5" t="n">
        <v>2</v>
      </c>
      <c r="Q37" s="5" t="n">
        <v>17</v>
      </c>
      <c r="R37" s="4" t="inlineStr">
        <is>
          <t>%</t>
        </is>
      </c>
    </row>
    <row r="39">
      <c r="A39" s="4" t="inlineStr">
        <is>
          <t>K</t>
        </is>
      </c>
      <c r="B39" s="4" t="inlineStr">
        <is>
          <t>o n</t>
        </is>
      </c>
      <c r="C39" s="4" t="inlineStr">
        <is>
          <t>m</t>
        </is>
      </c>
      <c r="D39" s="4" t="inlineStr">
        <is>
          <t>a</t>
        </is>
      </c>
      <c r="E39" s="5" t="n">
        <v>13334</v>
      </c>
      <c r="F39" s="6" t="n">
        <v>11.9</v>
      </c>
      <c r="G39" s="5" t="n">
        <v>43</v>
      </c>
      <c r="H39" s="5" t="n">
        <v>1</v>
      </c>
      <c r="I39" s="5" t="n">
        <v>2</v>
      </c>
      <c r="J39" s="4" t="inlineStr">
        <is>
          <t>%</t>
        </is>
      </c>
      <c r="K39" s="5" t="n">
        <v>7</v>
      </c>
      <c r="L39" s="6" t="n">
        <v>1.5</v>
      </c>
      <c r="M39" s="5" t="n">
        <v>44</v>
      </c>
      <c r="N39" s="6" t="n">
        <v>60.6</v>
      </c>
      <c r="O39" s="5" t="n">
        <v>48</v>
      </c>
      <c r="P39" s="5" t="n">
        <v>18</v>
      </c>
      <c r="Q39" s="4" t="inlineStr">
        <is>
          <t>%</t>
        </is>
      </c>
    </row>
    <row r="41">
      <c r="A41" s="4" t="inlineStr">
        <is>
          <t>K</t>
        </is>
      </c>
      <c r="B41" s="4" t="inlineStr">
        <is>
          <t>o lt</t>
        </is>
      </c>
      <c r="C41" s="4" t="inlineStr">
        <is>
          <t>u k</t>
        </is>
      </c>
      <c r="D41" s="4" t="inlineStr">
        <is>
          <t>s a y ı s ı , m n</t>
        </is>
      </c>
      <c r="E41" s="6" t="n">
        <v>2.77</v>
      </c>
      <c r="F41" s="6" t="n">
        <v>2.4</v>
      </c>
      <c r="G41" s="5" t="n">
        <v>7</v>
      </c>
      <c r="H41" s="5" t="n">
        <v>1</v>
      </c>
      <c r="I41" s="5" t="n">
        <v>2</v>
      </c>
      <c r="J41" s="4" t="inlineStr">
        <is>
          <t>%</t>
        </is>
      </c>
      <c r="K41" s="5" t="n">
        <v>1</v>
      </c>
      <c r="L41" s="6" t="n">
        <v>4.9</v>
      </c>
      <c r="M41" s="5" t="n">
        <v>6</v>
      </c>
      <c r="N41" s="6" t="n">
        <v>12.5</v>
      </c>
      <c r="O41" s="5" t="n">
        <v>6</v>
      </c>
      <c r="P41" s="5" t="n">
        <v>19</v>
      </c>
      <c r="Q41" s="4" t="inlineStr">
        <is>
          <t>%</t>
        </is>
      </c>
    </row>
    <row r="43">
      <c r="A43" s="4" t="inlineStr">
        <is>
          <t>D ı ş H a t l</t>
        </is>
      </c>
      <c r="B43" s="4" t="inlineStr">
        <is>
          <t>a r *</t>
        </is>
      </c>
    </row>
    <row r="44">
      <c r="A44" s="4" t="inlineStr">
        <is>
          <t>D</t>
        </is>
      </c>
      <c r="B44" s="4" t="inlineStr">
        <is>
          <t>o l</t>
        </is>
      </c>
      <c r="C44" s="4" t="inlineStr">
        <is>
          <t>u l</t>
        </is>
      </c>
      <c r="D44" s="4" t="inlineStr">
        <is>
          <t>u k O r a n ı</t>
        </is>
      </c>
      <c r="E44" s="7" t="n">
        <v>0.841</v>
      </c>
      <c r="F44" s="5" t="n">
        <v>84</v>
      </c>
      <c r="G44" s="4" t="inlineStr">
        <is>
          <t>%</t>
        </is>
      </c>
      <c r="H44" s="5" t="n">
        <v>0</v>
      </c>
      <c r="I44" s="6" t="n">
        <v>0.1</v>
      </c>
      <c r="J44" s="4" t="inlineStr">
        <is>
          <t>p</t>
        </is>
      </c>
      <c r="K44" s="5" t="n">
        <v>8</v>
      </c>
      <c r="L44" s="6" t="n">
        <v>4.2</v>
      </c>
      <c r="M44" s="4" t="inlineStr">
        <is>
          <t>%</t>
        </is>
      </c>
      <c r="N44" s="6" t="n">
        <v>85.3</v>
      </c>
      <c r="O44" s="4" t="inlineStr">
        <is>
          <t>% -</t>
        </is>
      </c>
      <c r="P44" s="5" t="n">
        <v>1</v>
      </c>
      <c r="Q44" s="8" t="n">
        <v>2</v>
      </c>
    </row>
    <row r="46">
      <c r="A46" s="4" t="inlineStr">
        <is>
          <t>A</t>
        </is>
      </c>
      <c r="B46" s="4" t="inlineStr">
        <is>
          <t>S</t>
        </is>
      </c>
      <c r="C46" s="4" t="inlineStr">
        <is>
          <t>K (</t>
        </is>
      </c>
      <c r="D46" s="4" t="inlineStr">
        <is>
          <t>m ln k m )</t>
        </is>
      </c>
      <c r="E46" s="5" t="n">
        <v>5737</v>
      </c>
      <c r="F46" s="6" t="n">
        <v>5.06</v>
      </c>
      <c r="G46" s="5" t="n">
        <v>7</v>
      </c>
      <c r="H46" s="5" t="n">
        <v>1</v>
      </c>
      <c r="I46" s="5" t="n">
        <v>3</v>
      </c>
      <c r="J46" s="4" t="inlineStr">
        <is>
          <t>%</t>
        </is>
      </c>
      <c r="K46" s="5" t="n">
        <v>3</v>
      </c>
      <c r="L46" s="5" t="n">
        <v>0</v>
      </c>
      <c r="M46" s="5" t="n">
        <v>14</v>
      </c>
      <c r="N46" s="6" t="n">
        <v>25.5</v>
      </c>
      <c r="O46" s="5" t="n">
        <v>56</v>
      </c>
      <c r="P46" s="5" t="n">
        <v>17</v>
      </c>
      <c r="Q46" s="4" t="inlineStr">
        <is>
          <t>%</t>
        </is>
      </c>
    </row>
    <row r="48">
      <c r="A48" s="4" t="inlineStr">
        <is>
          <t>K</t>
        </is>
      </c>
      <c r="B48" s="4" t="inlineStr">
        <is>
          <t>o n</t>
        </is>
      </c>
      <c r="C48" s="4" t="inlineStr">
        <is>
          <t>m</t>
        </is>
      </c>
      <c r="D48" s="4" t="inlineStr">
        <is>
          <t>a b a ş ı n a M</t>
        </is>
      </c>
      <c r="E48" s="4" t="inlineStr">
        <is>
          <t>i s a</t>
        </is>
      </c>
      <c r="F48" s="4" t="inlineStr">
        <is>
          <t>f i r</t>
        </is>
      </c>
      <c r="G48" s="5" t="n">
        <v>175</v>
      </c>
      <c r="H48" s="5" t="n">
        <v>173</v>
      </c>
      <c r="I48" s="7" t="n">
        <v>0.01</v>
      </c>
      <c r="J48" s="5" t="n">
        <v>17</v>
      </c>
      <c r="K48" s="5" t="n">
        <v>6</v>
      </c>
      <c r="L48" s="5" t="n">
        <v>17</v>
      </c>
      <c r="M48" s="5" t="n">
        <v>7</v>
      </c>
      <c r="N48" s="5" t="n">
        <v>0</v>
      </c>
      <c r="O48" s="4" t="inlineStr">
        <is>
          <t>%</t>
        </is>
      </c>
    </row>
    <row r="50">
      <c r="A50" s="4" t="inlineStr">
        <is>
          <t>* C h a r t e r d</t>
        </is>
      </c>
      <c r="B50" s="4" t="inlineStr">
        <is>
          <t>a h il</t>
        </is>
      </c>
    </row>
    <row r="52">
      <c r="A52" s="4" t="inlineStr">
        <is>
          <t>K a r b o n</t>
        </is>
      </c>
      <c r="B52" s="4" t="inlineStr">
        <is>
          <t>E m i s y o</t>
        </is>
      </c>
      <c r="C52" s="4" t="inlineStr">
        <is>
          <t>n u</t>
        </is>
      </c>
      <c r="D52" s="4" t="inlineStr">
        <is>
          <t>İ s</t>
        </is>
      </c>
      <c r="E52" s="4" t="inlineStr">
        <is>
          <t>t a t i s t i k l e r i</t>
        </is>
      </c>
    </row>
    <row r="54">
      <c r="A54" s="4" t="inlineStr">
        <is>
          <t>A Y L I K</t>
        </is>
      </c>
      <c r="B54" s="5" t="n">
        <v>202</v>
      </c>
      <c r="C54" s="5" t="n">
        <v>5</v>
      </c>
      <c r="D54" s="5" t="n">
        <v>2</v>
      </c>
      <c r="E54" s="5" t="n">
        <v>2</v>
      </c>
      <c r="F54" s="4" t="inlineStr">
        <is>
          <t>4 K Ü</t>
        </is>
      </c>
      <c r="G54" s="4" t="inlineStr">
        <is>
          <t>M</t>
        </is>
      </c>
      <c r="H54" s="4" t="inlineStr">
        <is>
          <t>Ü L</t>
        </is>
      </c>
      <c r="I54" s="4" t="inlineStr">
        <is>
          <t>A T İ F</t>
        </is>
      </c>
      <c r="J54" s="5" t="n">
        <v>202</v>
      </c>
      <c r="K54" s="5" t="n">
        <v>5</v>
      </c>
      <c r="L54" s="5" t="n">
        <v>20</v>
      </c>
      <c r="M54" s="5" t="n">
        <v>24</v>
      </c>
    </row>
    <row r="56">
      <c r="A56" s="4" t="inlineStr">
        <is>
          <t>C O 2 g r a</t>
        </is>
      </c>
      <c r="B56" s="4" t="inlineStr">
        <is>
          <t>m / R P K</t>
        </is>
      </c>
      <c r="C56" s="4" t="inlineStr">
        <is>
          <t>O c a k</t>
        </is>
      </c>
      <c r="D56" s="5" t="n">
        <v>58</v>
      </c>
      <c r="E56" s="5" t="n">
        <v>2</v>
      </c>
      <c r="F56" s="5" t="n">
        <v>6</v>
      </c>
      <c r="G56" s="5" t="n">
        <v>0</v>
      </c>
      <c r="H56" s="5" t="n">
        <v>2</v>
      </c>
      <c r="I56" s="4" t="inlineStr">
        <is>
          <t>1 A</t>
        </is>
      </c>
      <c r="J56" s="5" t="n">
        <v>58</v>
      </c>
      <c r="K56" s="5" t="n">
        <v>2</v>
      </c>
      <c r="L56" s="5" t="n">
        <v>60</v>
      </c>
      <c r="M56" s="6" t="n">
        <v>0.2</v>
      </c>
    </row>
    <row r="58">
      <c r="A58" s="4" t="inlineStr">
        <is>
          <t>Ş u b a t</t>
        </is>
      </c>
      <c r="B58" s="5" t="n">
        <v>55</v>
      </c>
      <c r="C58" s="5" t="n">
        <v>5</v>
      </c>
      <c r="D58" s="5" t="n">
        <v>5</v>
      </c>
      <c r="E58" s="5" t="n">
        <v>7</v>
      </c>
      <c r="F58" s="5" t="n">
        <v>2</v>
      </c>
      <c r="G58" s="4" t="inlineStr">
        <is>
          <t>2 A</t>
        </is>
      </c>
      <c r="H58" s="5" t="n">
        <v>56</v>
      </c>
      <c r="I58" s="5" t="n">
        <v>9</v>
      </c>
      <c r="J58" s="5" t="n">
        <v>58</v>
      </c>
      <c r="K58" s="6" t="n">
        <v>0.7</v>
      </c>
    </row>
    <row r="60">
      <c r="A60" s="4" t="inlineStr">
        <is>
          <t>M a r t</t>
        </is>
      </c>
      <c r="B60" s="5" t="n">
        <v>57</v>
      </c>
      <c r="C60" s="5" t="n">
        <v>5</v>
      </c>
      <c r="D60" s="5" t="n">
        <v>5</v>
      </c>
      <c r="E60" s="5" t="n">
        <v>7</v>
      </c>
      <c r="F60" s="5" t="n">
        <v>2</v>
      </c>
      <c r="G60" s="4" t="inlineStr">
        <is>
          <t>3 A</t>
        </is>
      </c>
      <c r="H60" s="5" t="n">
        <v>57</v>
      </c>
      <c r="I60" s="5" t="n">
        <v>1</v>
      </c>
      <c r="J60" s="5" t="n">
        <v>58</v>
      </c>
      <c r="K60" s="6" t="n">
        <v>0.2</v>
      </c>
    </row>
    <row r="62">
      <c r="A62" s="4" t="inlineStr">
        <is>
          <t>N i s a n</t>
        </is>
      </c>
      <c r="B62" s="5" t="n">
        <v>56</v>
      </c>
      <c r="C62" s="5" t="n">
        <v>8</v>
      </c>
      <c r="D62" s="5" t="n">
        <v>5</v>
      </c>
      <c r="E62" s="5" t="n">
        <v>7</v>
      </c>
      <c r="F62" s="5" t="n">
        <v>2</v>
      </c>
      <c r="G62" s="4" t="inlineStr">
        <is>
          <t>4 A</t>
        </is>
      </c>
      <c r="H62" s="5" t="n">
        <v>57</v>
      </c>
      <c r="I62" s="5" t="n">
        <v>0</v>
      </c>
      <c r="J62" s="5" t="n">
        <v>57</v>
      </c>
      <c r="K62" s="6" t="n">
        <v>0.9</v>
      </c>
    </row>
    <row r="64">
      <c r="A64" s="4" t="inlineStr">
        <is>
          <t>M a y ı s</t>
        </is>
      </c>
      <c r="B64" s="5" t="n">
        <v>57</v>
      </c>
      <c r="C64" s="5" t="n">
        <v>8</v>
      </c>
      <c r="D64" s="5" t="n">
        <v>5</v>
      </c>
      <c r="E64" s="5" t="n">
        <v>7</v>
      </c>
      <c r="F64" s="5" t="n">
        <v>9</v>
      </c>
      <c r="G64" s="4" t="inlineStr">
        <is>
          <t>5 A</t>
        </is>
      </c>
      <c r="H64" s="5" t="n">
        <v>57</v>
      </c>
      <c r="I64" s="5" t="n">
        <v>2</v>
      </c>
      <c r="J64" s="5" t="n">
        <v>57</v>
      </c>
      <c r="K64" s="6" t="n">
        <v>0.9</v>
      </c>
    </row>
    <row r="66">
      <c r="A66" s="4" t="inlineStr">
        <is>
          <t>H a z i r a n</t>
        </is>
      </c>
      <c r="B66" s="5" t="n">
        <v>60</v>
      </c>
      <c r="C66" s="5" t="n">
        <v>0</v>
      </c>
      <c r="D66" s="5" t="n">
        <v>6</v>
      </c>
      <c r="E66" s="5" t="n">
        <v>0</v>
      </c>
      <c r="F66" s="5" t="n">
        <v>4</v>
      </c>
      <c r="G66" s="4" t="inlineStr">
        <is>
          <t>6 A</t>
        </is>
      </c>
      <c r="H66" s="5" t="n">
        <v>57</v>
      </c>
      <c r="I66" s="5" t="n">
        <v>7</v>
      </c>
      <c r="J66" s="5" t="n">
        <v>58</v>
      </c>
      <c r="K66" s="6" t="n">
        <v>0.4</v>
      </c>
    </row>
    <row r="68">
      <c r="A68" s="4" t="inlineStr">
        <is>
          <t>Y I L L I K</t>
        </is>
      </c>
      <c r="B68" s="5" t="n">
        <v>2019</v>
      </c>
      <c r="C68" s="5" t="n">
        <v>202</v>
      </c>
      <c r="D68" s="5" t="n">
        <v>0</v>
      </c>
      <c r="E68" s="5" t="n">
        <v>2</v>
      </c>
      <c r="F68" s="5" t="n">
        <v>2</v>
      </c>
      <c r="G68" s="5" t="n">
        <v>1</v>
      </c>
      <c r="H68" s="5" t="n">
        <v>2</v>
      </c>
      <c r="I68" s="5" t="n">
        <v>2</v>
      </c>
      <c r="J68" s="5" t="n">
        <v>2</v>
      </c>
      <c r="K68" s="5" t="n">
        <v>202</v>
      </c>
      <c r="L68" s="5" t="n">
        <v>3</v>
      </c>
      <c r="M68" s="5" t="n">
        <v>20</v>
      </c>
      <c r="N68" s="5" t="n">
        <v>24</v>
      </c>
    </row>
    <row r="70">
      <c r="A70" s="4" t="inlineStr">
        <is>
          <t>C O 2 g r a</t>
        </is>
      </c>
      <c r="B70" s="4" t="inlineStr">
        <is>
          <t>m / R P K</t>
        </is>
      </c>
      <c r="C70" s="6" t="n">
        <v>65.09999999999999</v>
      </c>
      <c r="D70" s="5" t="n">
        <v>71</v>
      </c>
      <c r="E70" s="5" t="n">
        <v>3</v>
      </c>
      <c r="F70" s="5" t="n">
        <v>7</v>
      </c>
      <c r="G70" s="5" t="n">
        <v>1</v>
      </c>
      <c r="H70" s="5" t="n">
        <v>0</v>
      </c>
      <c r="I70" s="5" t="n">
        <v>62</v>
      </c>
      <c r="J70" s="5" t="n">
        <v>1</v>
      </c>
      <c r="K70" s="5" t="n">
        <v>61</v>
      </c>
      <c r="L70" s="5" t="n">
        <v>3</v>
      </c>
      <c r="M70" s="5" t="n">
        <v>58</v>
      </c>
      <c r="N70" s="6" t="n">
        <v>0.3</v>
      </c>
    </row>
    <row r="71">
      <c r="A71" s="4" t="inlineStr">
        <is>
          <t>Karbon Emi</t>
        </is>
      </c>
      <c r="B71" s="4" t="inlineStr">
        <is>
          <t>syonu İstati</t>
        </is>
      </c>
      <c r="C71" s="4" t="inlineStr">
        <is>
          <t>stik</t>
        </is>
      </c>
      <c r="D71" s="4" t="inlineStr">
        <is>
          <t>leri</t>
        </is>
      </c>
      <c r="E71" s="4" t="inlineStr">
        <is>
          <t>nde (grCO2/RP</t>
        </is>
      </c>
      <c r="F71" s="4" t="inlineStr">
        <is>
          <t>K)</t>
        </is>
      </c>
      <c r="G71" s="4" t="inlineStr">
        <is>
          <t>jet yakıtı emisyon</t>
        </is>
      </c>
      <c r="H71" s="4" t="inlineStr">
        <is>
          <t>katsayısı ba</t>
        </is>
      </c>
      <c r="I71" s="4" t="inlineStr">
        <is>
          <t>z yıl ve tüm r</t>
        </is>
      </c>
      <c r="J71" s="4" t="inlineStr">
        <is>
          <t>aporlanan dö</t>
        </is>
      </c>
      <c r="K71" s="4" t="inlineStr">
        <is>
          <t>ne</t>
        </is>
      </c>
      <c r="L71" s="4" t="inlineStr">
        <is>
          <t>ml</t>
        </is>
      </c>
      <c r="M71" s="4" t="inlineStr">
        <is>
          <t>er için 3,16 ola</t>
        </is>
      </c>
      <c r="N71" s="4" t="inlineStr">
        <is>
          <t>ra</t>
        </is>
      </c>
      <c r="O71" s="4" t="inlineStr">
        <is>
          <t>k ku</t>
        </is>
      </c>
      <c r="P71" s="4" t="inlineStr">
        <is>
          <t>llanılmıştır.</t>
        </is>
      </c>
    </row>
    <row r="73">
      <c r="A73" s="4" t="inlineStr">
        <is>
          <t>Arz edilen</t>
        </is>
      </c>
      <c r="B73" s="4" t="inlineStr">
        <is>
          <t>Koltuk Kil</t>
        </is>
      </c>
      <c r="C73" s="4" t="inlineStr">
        <is>
          <t>om</t>
        </is>
      </c>
      <c r="D73" s="4" t="inlineStr">
        <is>
          <t>et</t>
        </is>
      </c>
      <c r="E73" s="4" t="inlineStr">
        <is>
          <t>re (ASK) = Uç</t>
        </is>
      </c>
      <c r="F73" s="4" t="inlineStr">
        <is>
          <t>uşa</t>
        </is>
      </c>
      <c r="G73" s="4" t="inlineStr">
        <is>
          <t>arz edilen kolt</t>
        </is>
      </c>
      <c r="H73" s="4" t="inlineStr">
        <is>
          <t>uk sayısı x</t>
        </is>
      </c>
      <c r="I73" s="4" t="inlineStr">
        <is>
          <t>Ortalama</t>
        </is>
      </c>
      <c r="J73" s="4" t="inlineStr">
        <is>
          <t>Uçuş Mesaf</t>
        </is>
      </c>
      <c r="K73" s="4" t="inlineStr">
        <is>
          <t>es</t>
        </is>
      </c>
      <c r="L73" s="4" t="inlineStr">
        <is>
          <t>i</t>
        </is>
      </c>
    </row>
    <row r="75">
      <c r="A75" s="4" t="inlineStr">
        <is>
          <t>Doluluk Or</t>
        </is>
      </c>
      <c r="B75" s="4" t="inlineStr">
        <is>
          <t>anı = Bile</t>
        </is>
      </c>
      <c r="C75" s="4" t="inlineStr">
        <is>
          <t>tle</t>
        </is>
      </c>
      <c r="D75" s="4" t="inlineStr">
        <is>
          <t>nm</t>
        </is>
      </c>
      <c r="E75" s="4" t="inlineStr">
        <is>
          <t>iş misafir sa</t>
        </is>
      </c>
      <c r="F75" s="4" t="inlineStr">
        <is>
          <t>yısı</t>
        </is>
      </c>
      <c r="G75" s="4" t="inlineStr">
        <is>
          <t>/ Toplam koltu</t>
        </is>
      </c>
      <c r="H75" s="4" t="inlineStr">
        <is>
          <t>k sayısı</t>
        </is>
      </c>
    </row>
    <row r="77">
      <c r="A77" s="4" t="inlineStr">
        <is>
          <t>RPK (Reve</t>
        </is>
      </c>
      <c r="B77" s="4" t="inlineStr">
        <is>
          <t>nue Passe</t>
        </is>
      </c>
      <c r="C77" s="4" t="inlineStr">
        <is>
          <t>ng</t>
        </is>
      </c>
      <c r="D77" s="4" t="inlineStr">
        <is>
          <t>er</t>
        </is>
      </c>
      <c r="E77" s="4" t="inlineStr">
        <is>
          <t>Kilometer): Ü</t>
        </is>
      </c>
      <c r="F77" s="4" t="inlineStr">
        <is>
          <t>cre</t>
        </is>
      </c>
      <c r="G77" s="4" t="inlineStr">
        <is>
          <t>tli Yolcu Kilom</t>
        </is>
      </c>
      <c r="H77" s="4" t="inlineStr">
        <is>
          <t>etre</t>
        </is>
      </c>
    </row>
  </sheetData>
  <mergeCells count="2">
    <mergeCell ref="A30:R30"/>
    <mergeCell ref="A17:R17"/>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cols>
    <col width="15" customWidth="1" min="1" max="1"/>
    <col width="15" customWidth="1" min="2" max="2"/>
    <col width="13" customWidth="1" min="3" max="3"/>
    <col width="19" customWidth="1" min="4" max="4"/>
    <col width="20" customWidth="1" min="5" max="5"/>
    <col width="25" customWidth="1" min="6" max="6"/>
    <col width="12" customWidth="1" min="7" max="7"/>
    <col width="20" customWidth="1" min="8" max="8"/>
    <col width="14" customWidth="1" min="9" max="9"/>
    <col width="14" customWidth="1" min="10" max="10"/>
    <col width="14" customWidth="1" min="11" max="11"/>
    <col width="12" customWidth="1" min="12" max="12"/>
    <col width="12" customWidth="1" min="13" max="13"/>
    <col width="14" customWidth="1" min="14" max="14"/>
    <col width="12" customWidth="1" min="15" max="15"/>
    <col width="15" customWidth="1" min="16" max="16"/>
    <col width="12" customWidth="1" min="17" max="17"/>
    <col width="12" customWidth="1" min="18" max="18"/>
  </cols>
  <sheetData>
    <row r="1">
      <c r="A1" s="4" t="inlineStr">
        <is>
          <t>P E</t>
        </is>
      </c>
      <c r="B1" s="4" t="inlineStr">
        <is>
          <t>G A S U</t>
        </is>
      </c>
      <c r="C1" s="4" t="inlineStr">
        <is>
          <t>S H A V A</t>
        </is>
      </c>
      <c r="D1" s="4" t="inlineStr">
        <is>
          <t>T A</t>
        </is>
      </c>
      <c r="E1" s="4" t="inlineStr">
        <is>
          <t>Ş I</t>
        </is>
      </c>
      <c r="F1" s="4" t="inlineStr">
        <is>
          <t>M A C I L I Ğ I</t>
        </is>
      </c>
      <c r="G1" s="4" t="inlineStr">
        <is>
          <t>A . Ş</t>
        </is>
      </c>
      <c r="H1" s="4" t="inlineStr">
        <is>
          <t>.</t>
        </is>
      </c>
    </row>
    <row r="3">
      <c r="A3" s="4" t="inlineStr">
        <is>
          <t>T E</t>
        </is>
      </c>
      <c r="B3" s="4" t="inlineStr">
        <is>
          <t>M M U</t>
        </is>
      </c>
      <c r="C3" s="4" t="inlineStr">
        <is>
          <t>Z 2 0 2 5 T</t>
        </is>
      </c>
      <c r="D3" s="4" t="inlineStr">
        <is>
          <t>R A</t>
        </is>
      </c>
      <c r="E3" s="4" t="inlineStr">
        <is>
          <t>F İ</t>
        </is>
      </c>
      <c r="F3" s="4" t="inlineStr">
        <is>
          <t>K S O N U Ç L</t>
        </is>
      </c>
      <c r="G3" s="4" t="inlineStr">
        <is>
          <t>A R</t>
        </is>
      </c>
      <c r="H3" s="4" t="inlineStr">
        <is>
          <t>I</t>
        </is>
      </c>
    </row>
    <row r="5">
      <c r="A5" s="4" t="inlineStr">
        <is>
          <t>A Y L I</t>
        </is>
      </c>
      <c r="B5" s="4" t="inlineStr">
        <is>
          <t>K</t>
        </is>
      </c>
      <c r="C5" s="4" t="inlineStr">
        <is>
          <t>K Ü</t>
        </is>
      </c>
      <c r="D5" s="4" t="inlineStr">
        <is>
          <t>M Ü</t>
        </is>
      </c>
      <c r="E5" s="4" t="inlineStr">
        <is>
          <t>L A T İ F</t>
        </is>
      </c>
    </row>
    <row r="7">
      <c r="A7" s="4" t="inlineStr">
        <is>
          <t>T</t>
        </is>
      </c>
      <c r="B7" s="4" t="inlineStr">
        <is>
          <t>e m m u z</t>
        </is>
      </c>
      <c r="C7" s="4" t="inlineStr">
        <is>
          <t>T e m m</t>
        </is>
      </c>
      <c r="D7" s="4" t="inlineStr">
        <is>
          <t>u z</t>
        </is>
      </c>
      <c r="E7" s="4" t="inlineStr">
        <is>
          <t>' 2</t>
        </is>
      </c>
      <c r="F7" s="4" t="inlineStr">
        <is>
          <t>5 / '</t>
        </is>
      </c>
      <c r="G7" s="5" t="n">
        <v>24</v>
      </c>
      <c r="H7" s="4" t="inlineStr">
        <is>
          <t>O c a . - T</t>
        </is>
      </c>
      <c r="I7" s="4" t="inlineStr">
        <is>
          <t>e m . O c</t>
        </is>
      </c>
      <c r="J7" s="4" t="inlineStr">
        <is>
          <t>a . -</t>
        </is>
      </c>
      <c r="K7" s="4" t="inlineStr">
        <is>
          <t>T e m .</t>
        </is>
      </c>
      <c r="L7" s="4" t="inlineStr">
        <is>
          <t>' 2</t>
        </is>
      </c>
      <c r="M7" s="4" t="inlineStr">
        <is>
          <t>5 / '</t>
        </is>
      </c>
      <c r="N7" s="5" t="n">
        <v>2</v>
      </c>
    </row>
    <row r="9">
      <c r="A9" s="4" t="inlineStr">
        <is>
          <t>2 0 2 5</t>
        </is>
      </c>
      <c r="B9" s="5" t="n">
        <v>202</v>
      </c>
      <c r="C9" s="5" t="n">
        <v>4</v>
      </c>
      <c r="D9" s="4" t="inlineStr">
        <is>
          <t>%</t>
        </is>
      </c>
      <c r="E9" s="4" t="inlineStr">
        <is>
          <t>D e</t>
        </is>
      </c>
      <c r="F9" s="4" t="inlineStr">
        <is>
          <t>ğ .</t>
        </is>
      </c>
      <c r="G9" s="5" t="n">
        <v>202</v>
      </c>
      <c r="H9" s="5" t="n">
        <v>5</v>
      </c>
      <c r="I9" s="5" t="n">
        <v>202</v>
      </c>
      <c r="J9" s="5" t="n">
        <v>4</v>
      </c>
      <c r="K9" s="4" t="inlineStr">
        <is>
          <t>%</t>
        </is>
      </c>
      <c r="L9" s="4" t="inlineStr">
        <is>
          <t>D</t>
        </is>
      </c>
      <c r="M9" s="4" t="inlineStr">
        <is>
          <t>e ğ</t>
        </is>
      </c>
    </row>
    <row r="11">
      <c r="A11" s="4" t="inlineStr">
        <is>
          <t>M</t>
        </is>
      </c>
      <c r="B11" s="4" t="inlineStr">
        <is>
          <t>i s</t>
        </is>
      </c>
      <c r="C11" s="4" t="inlineStr">
        <is>
          <t>a f i</t>
        </is>
      </c>
      <c r="D11" s="4" t="inlineStr">
        <is>
          <t>r s a y ı s ı , m</t>
        </is>
      </c>
      <c r="E11" s="4" t="inlineStr">
        <is>
          <t>n</t>
        </is>
      </c>
      <c r="F11" s="6" t="n">
        <v>3.93</v>
      </c>
      <c r="G11" s="6" t="n">
        <v>3.5</v>
      </c>
      <c r="H11" s="5" t="n">
        <v>5</v>
      </c>
      <c r="I11" s="5" t="n">
        <v>1</v>
      </c>
      <c r="J11" s="5" t="n">
        <v>1</v>
      </c>
      <c r="K11" s="4" t="inlineStr">
        <is>
          <t>%</t>
        </is>
      </c>
      <c r="L11" s="6" t="n">
        <v>23.6</v>
      </c>
      <c r="M11" s="5" t="n">
        <v>4</v>
      </c>
      <c r="N11" s="5" t="n">
        <v>20</v>
      </c>
      <c r="O11" s="5" t="n">
        <v>98</v>
      </c>
      <c r="P11" s="5" t="n">
        <v>1</v>
      </c>
      <c r="Q11" s="5" t="n">
        <v>3</v>
      </c>
      <c r="R11" s="4" t="inlineStr">
        <is>
          <t>%</t>
        </is>
      </c>
    </row>
    <row r="13">
      <c r="A13" s="4" t="inlineStr">
        <is>
          <t>K</t>
        </is>
      </c>
      <c r="B13" s="4" t="inlineStr">
        <is>
          <t>o n</t>
        </is>
      </c>
      <c r="C13" s="4" t="inlineStr">
        <is>
          <t>m</t>
        </is>
      </c>
      <c r="D13" s="4" t="inlineStr">
        <is>
          <t>a</t>
        </is>
      </c>
      <c r="E13" s="5" t="n">
        <v>21258</v>
      </c>
      <c r="F13" s="6" t="n">
        <v>19.2</v>
      </c>
      <c r="G13" s="5" t="n">
        <v>15</v>
      </c>
      <c r="H13" s="5" t="n">
        <v>1</v>
      </c>
      <c r="I13" s="5" t="n">
        <v>1</v>
      </c>
      <c r="J13" s="4" t="inlineStr">
        <is>
          <t>%</t>
        </is>
      </c>
      <c r="K13" s="6" t="n">
        <v>129.8</v>
      </c>
      <c r="L13" s="5" t="n">
        <v>121</v>
      </c>
      <c r="M13" s="5" t="n">
        <v>16</v>
      </c>
      <c r="N13" s="5" t="n">
        <v>69</v>
      </c>
      <c r="O13" s="5" t="n">
        <v>1</v>
      </c>
      <c r="P13" s="5" t="n">
        <v>2</v>
      </c>
      <c r="Q13" s="4" t="inlineStr">
        <is>
          <t>%</t>
        </is>
      </c>
    </row>
    <row r="15">
      <c r="A15" s="4" t="inlineStr">
        <is>
          <t>K</t>
        </is>
      </c>
      <c r="B15" s="4" t="inlineStr">
        <is>
          <t>o lt</t>
        </is>
      </c>
      <c r="C15" s="4" t="inlineStr">
        <is>
          <t>u k</t>
        </is>
      </c>
      <c r="D15" s="4" t="inlineStr">
        <is>
          <t>s a y ı s ı , m n</t>
        </is>
      </c>
      <c r="E15" s="6" t="n">
        <v>4.47</v>
      </c>
      <c r="F15" s="6" t="n">
        <v>3.9</v>
      </c>
      <c r="G15" s="5" t="n">
        <v>9</v>
      </c>
      <c r="H15" s="5" t="n">
        <v>1</v>
      </c>
      <c r="I15" s="5" t="n">
        <v>2</v>
      </c>
      <c r="J15" s="4" t="inlineStr">
        <is>
          <t>%</t>
        </is>
      </c>
      <c r="K15" s="6" t="n">
        <v>27.3</v>
      </c>
      <c r="L15" s="5" t="n">
        <v>2</v>
      </c>
      <c r="M15" s="5" t="n">
        <v>23</v>
      </c>
      <c r="N15" s="5" t="n">
        <v>94</v>
      </c>
      <c r="O15" s="5" t="n">
        <v>1</v>
      </c>
      <c r="P15" s="5" t="n">
        <v>4</v>
      </c>
      <c r="Q15" s="4" t="inlineStr">
        <is>
          <t>%</t>
        </is>
      </c>
    </row>
    <row r="17">
      <c r="A17" s="4" t="inlineStr">
        <is>
          <t>T o</t>
        </is>
      </c>
      <c r="B17" s="4" t="inlineStr">
        <is>
          <t>p l a m</t>
        </is>
      </c>
    </row>
    <row r="18">
      <c r="A18" s="4" t="inlineStr">
        <is>
          <t>D</t>
        </is>
      </c>
      <c r="B18" s="4" t="inlineStr">
        <is>
          <t>o l</t>
        </is>
      </c>
      <c r="C18" s="4" t="inlineStr">
        <is>
          <t>u l</t>
        </is>
      </c>
      <c r="D18" s="4" t="inlineStr">
        <is>
          <t>u k O r a n ı</t>
        </is>
      </c>
      <c r="E18" s="7" t="n">
        <v>0.88</v>
      </c>
      <c r="F18" s="6" t="n">
        <v>88.90000000000001</v>
      </c>
      <c r="G18" s="4" t="inlineStr">
        <is>
          <t>%</t>
        </is>
      </c>
      <c r="H18" s="4" t="inlineStr">
        <is>
          <t>-</t>
        </is>
      </c>
      <c r="I18" s="5" t="n">
        <v>1</v>
      </c>
      <c r="J18" s="4" t="inlineStr">
        <is>
          <t>%</t>
        </is>
      </c>
      <c r="K18" s="6" t="n">
        <v>86.59999999999999</v>
      </c>
      <c r="L18" s="4" t="inlineStr">
        <is>
          <t>%</t>
        </is>
      </c>
      <c r="M18" s="5" t="n">
        <v>87</v>
      </c>
      <c r="N18" s="7" t="n">
        <v>0.06</v>
      </c>
      <c r="O18" s="5" t="n">
        <v>-1</v>
      </c>
      <c r="P18" s="6" t="n">
        <v>0.1</v>
      </c>
      <c r="Q18" s="4" t="inlineStr">
        <is>
          <t>%</t>
        </is>
      </c>
    </row>
    <row r="20">
      <c r="A20" s="4" t="inlineStr">
        <is>
          <t>A</t>
        </is>
      </c>
      <c r="B20" s="4" t="inlineStr">
        <is>
          <t>S K</t>
        </is>
      </c>
      <c r="C20" s="4" t="inlineStr">
        <is>
          <t>(</t>
        </is>
      </c>
      <c r="D20" s="4" t="inlineStr">
        <is>
          <t>m ln k m )</t>
        </is>
      </c>
      <c r="E20" s="5" t="n">
        <v>7239</v>
      </c>
      <c r="F20" s="6" t="n">
        <v>6.39</v>
      </c>
      <c r="G20" s="5" t="n">
        <v>1</v>
      </c>
      <c r="H20" s="5" t="n">
        <v>1</v>
      </c>
      <c r="I20" s="5" t="n">
        <v>3</v>
      </c>
      <c r="J20" s="4" t="inlineStr">
        <is>
          <t>%</t>
        </is>
      </c>
      <c r="K20" s="6" t="n">
        <v>43.2</v>
      </c>
      <c r="L20" s="5" t="n">
        <v>14</v>
      </c>
      <c r="M20" s="6" t="n">
        <v>37.4</v>
      </c>
      <c r="N20" s="5" t="n">
        <v>80</v>
      </c>
      <c r="O20" s="5" t="n">
        <v>1</v>
      </c>
      <c r="P20" s="5" t="n">
        <v>5</v>
      </c>
      <c r="Q20" s="4" t="inlineStr">
        <is>
          <t>%</t>
        </is>
      </c>
    </row>
    <row r="22">
      <c r="A22" s="4" t="inlineStr">
        <is>
          <t>K</t>
        </is>
      </c>
      <c r="B22" s="4" t="inlineStr">
        <is>
          <t>o n</t>
        </is>
      </c>
      <c r="C22" s="4" t="inlineStr">
        <is>
          <t>m</t>
        </is>
      </c>
      <c r="D22" s="4" t="inlineStr">
        <is>
          <t>a b a ş ı n a M</t>
        </is>
      </c>
      <c r="E22" s="4" t="inlineStr">
        <is>
          <t>i s a</t>
        </is>
      </c>
      <c r="F22" s="4" t="inlineStr">
        <is>
          <t>f i r</t>
        </is>
      </c>
      <c r="G22" s="5" t="n">
        <v>185</v>
      </c>
      <c r="H22" s="5" t="n">
        <v>185</v>
      </c>
      <c r="I22" s="7" t="n">
        <v>0</v>
      </c>
      <c r="J22" s="5" t="n">
        <v>18</v>
      </c>
      <c r="K22" s="5" t="n">
        <v>2</v>
      </c>
      <c r="L22" s="5" t="n">
        <v>18</v>
      </c>
      <c r="M22" s="5" t="n">
        <v>1</v>
      </c>
      <c r="N22" s="7" t="n">
        <v>0.01</v>
      </c>
    </row>
    <row r="24">
      <c r="A24" s="4" t="inlineStr">
        <is>
          <t>M</t>
        </is>
      </c>
      <c r="B24" s="4" t="inlineStr">
        <is>
          <t>i s</t>
        </is>
      </c>
      <c r="C24" s="4" t="inlineStr">
        <is>
          <t>a f i</t>
        </is>
      </c>
      <c r="D24" s="4" t="inlineStr">
        <is>
          <t>r s a y ı s ı , m</t>
        </is>
      </c>
      <c r="E24" s="4" t="inlineStr">
        <is>
          <t>n</t>
        </is>
      </c>
      <c r="F24" s="6" t="n">
        <v>1.42</v>
      </c>
      <c r="G24" s="6" t="n">
        <v>1.2</v>
      </c>
      <c r="H24" s="5" t="n">
        <v>9</v>
      </c>
      <c r="I24" s="5" t="n">
        <v>1</v>
      </c>
      <c r="J24" s="5" t="n">
        <v>0</v>
      </c>
      <c r="K24" s="4" t="inlineStr">
        <is>
          <t>%</t>
        </is>
      </c>
      <c r="L24" s="6" t="n">
        <v>8.5</v>
      </c>
      <c r="M24" s="5" t="n">
        <v>4</v>
      </c>
      <c r="N24" s="6" t="n">
        <v>7.9</v>
      </c>
      <c r="O24" s="5" t="n">
        <v>9</v>
      </c>
      <c r="P24" s="7" t="n">
        <v>0.07000000000000001</v>
      </c>
    </row>
    <row r="26">
      <c r="A26" s="4" t="inlineStr">
        <is>
          <t>K</t>
        </is>
      </c>
      <c r="B26" s="4" t="inlineStr">
        <is>
          <t>o n</t>
        </is>
      </c>
      <c r="C26" s="4" t="inlineStr">
        <is>
          <t>m</t>
        </is>
      </c>
      <c r="D26" s="4" t="inlineStr">
        <is>
          <t>a</t>
        </is>
      </c>
      <c r="E26" s="5" t="n">
        <v>7003</v>
      </c>
      <c r="F26" s="6" t="n">
        <v>6.48</v>
      </c>
      <c r="G26" s="5" t="n">
        <v>0</v>
      </c>
      <c r="H26" s="7" t="n">
        <v>0.08</v>
      </c>
      <c r="I26" s="5" t="n">
        <v>44</v>
      </c>
      <c r="J26" s="5" t="n">
        <v>12</v>
      </c>
      <c r="K26" s="6" t="n">
        <v>42.6</v>
      </c>
      <c r="L26" s="5" t="n">
        <v>86</v>
      </c>
      <c r="M26" s="7" t="n">
        <v>0.03</v>
      </c>
    </row>
    <row r="28">
      <c r="A28" s="4" t="inlineStr">
        <is>
          <t>K</t>
        </is>
      </c>
      <c r="B28" s="4" t="inlineStr">
        <is>
          <t>o lt</t>
        </is>
      </c>
      <c r="C28" s="4" t="inlineStr">
        <is>
          <t>u k</t>
        </is>
      </c>
      <c r="D28" s="4" t="inlineStr">
        <is>
          <t>s a y ı s ı , m n</t>
        </is>
      </c>
      <c r="E28" s="6" t="n">
        <v>1.51</v>
      </c>
      <c r="F28" s="6" t="n">
        <v>1.3</v>
      </c>
      <c r="G28" s="5" t="n">
        <v>6</v>
      </c>
      <c r="H28" s="5" t="n">
        <v>1</v>
      </c>
      <c r="I28" s="5" t="n">
        <v>1</v>
      </c>
      <c r="J28" s="4" t="inlineStr">
        <is>
          <t>%</t>
        </is>
      </c>
      <c r="K28" s="6" t="n">
        <v>9.300000000000001</v>
      </c>
      <c r="L28" s="5" t="n">
        <v>9</v>
      </c>
      <c r="M28" s="6" t="n">
        <v>8.699999999999999</v>
      </c>
      <c r="N28" s="5" t="n">
        <v>5</v>
      </c>
      <c r="O28" s="7" t="n">
        <v>0.07000000000000001</v>
      </c>
    </row>
    <row r="30">
      <c r="A30" s="4" t="inlineStr">
        <is>
          <t>İ ç</t>
        </is>
      </c>
      <c r="B30" s="4" t="inlineStr">
        <is>
          <t>H a t l a r</t>
        </is>
      </c>
    </row>
    <row r="31">
      <c r="A31" s="4" t="inlineStr">
        <is>
          <t>D</t>
        </is>
      </c>
      <c r="B31" s="4" t="inlineStr">
        <is>
          <t>o l</t>
        </is>
      </c>
      <c r="C31" s="4" t="inlineStr">
        <is>
          <t>u l</t>
        </is>
      </c>
      <c r="D31" s="4" t="inlineStr">
        <is>
          <t>u k O r a n ı</t>
        </is>
      </c>
      <c r="E31" s="7" t="n">
        <v>0.9399999999999999</v>
      </c>
      <c r="F31" s="6" t="n">
        <v>94.59999999999999</v>
      </c>
      <c r="G31" s="4" t="inlineStr">
        <is>
          <t>%</t>
        </is>
      </c>
      <c r="H31" s="4" t="inlineStr">
        <is>
          <t>-</t>
        </is>
      </c>
      <c r="I31" s="6" t="n">
        <v>0.7</v>
      </c>
      <c r="J31" s="4" t="inlineStr">
        <is>
          <t>%</t>
        </is>
      </c>
      <c r="K31" s="6" t="n">
        <v>90.90000000000001</v>
      </c>
      <c r="L31" s="4" t="inlineStr">
        <is>
          <t>%</t>
        </is>
      </c>
      <c r="M31" s="5" t="n">
        <v>91</v>
      </c>
      <c r="N31" s="7" t="n">
        <v>0.04</v>
      </c>
      <c r="O31" s="5" t="n">
        <v>0</v>
      </c>
      <c r="P31" s="6" t="n">
        <v>0.5</v>
      </c>
      <c r="Q31" s="4" t="inlineStr">
        <is>
          <t>%</t>
        </is>
      </c>
    </row>
    <row r="33">
      <c r="A33" s="4" t="inlineStr">
        <is>
          <t>A</t>
        </is>
      </c>
      <c r="B33" s="4" t="inlineStr">
        <is>
          <t>S K</t>
        </is>
      </c>
      <c r="C33" s="4" t="inlineStr">
        <is>
          <t>(</t>
        </is>
      </c>
      <c r="D33" s="4" t="inlineStr">
        <is>
          <t>m ln k m )</t>
        </is>
      </c>
      <c r="E33" s="5" t="n">
        <v>1143</v>
      </c>
      <c r="F33" s="5" t="n">
        <v>995</v>
      </c>
      <c r="G33" s="5" t="n">
        <v>1</v>
      </c>
      <c r="H33" s="5" t="n">
        <v>5</v>
      </c>
      <c r="I33" s="4" t="inlineStr">
        <is>
          <t>%</t>
        </is>
      </c>
      <c r="J33" s="6" t="n">
        <v>7.1</v>
      </c>
      <c r="K33" s="5" t="n">
        <v>4</v>
      </c>
      <c r="L33" s="6" t="n">
        <v>6.5</v>
      </c>
      <c r="M33" s="5" t="n">
        <v>27</v>
      </c>
      <c r="N33" s="7" t="n">
        <v>0.09</v>
      </c>
    </row>
    <row r="35">
      <c r="A35" s="4" t="inlineStr">
        <is>
          <t>K</t>
        </is>
      </c>
      <c r="B35" s="4" t="inlineStr">
        <is>
          <t>o n</t>
        </is>
      </c>
      <c r="C35" s="4" t="inlineStr">
        <is>
          <t>m</t>
        </is>
      </c>
      <c r="D35" s="4" t="inlineStr">
        <is>
          <t>a b a ş ı n a M</t>
        </is>
      </c>
      <c r="E35" s="4" t="inlineStr">
        <is>
          <t>i s a</t>
        </is>
      </c>
      <c r="F35" s="4" t="inlineStr">
        <is>
          <t>f i r</t>
        </is>
      </c>
      <c r="G35" s="5" t="n">
        <v>202</v>
      </c>
      <c r="H35" s="5" t="n">
        <v>199</v>
      </c>
      <c r="I35" s="7" t="n">
        <v>0.02</v>
      </c>
      <c r="J35" s="5" t="n">
        <v>19</v>
      </c>
      <c r="K35" s="5" t="n">
        <v>4</v>
      </c>
      <c r="L35" s="5" t="n">
        <v>18</v>
      </c>
      <c r="M35" s="5" t="n">
        <v>7</v>
      </c>
      <c r="N35" s="7" t="n">
        <v>0.04</v>
      </c>
    </row>
    <row r="37">
      <c r="A37" s="4" t="inlineStr">
        <is>
          <t>M</t>
        </is>
      </c>
      <c r="B37" s="4" t="inlineStr">
        <is>
          <t>i s</t>
        </is>
      </c>
      <c r="C37" s="4" t="inlineStr">
        <is>
          <t>a f i</t>
        </is>
      </c>
      <c r="D37" s="4" t="inlineStr">
        <is>
          <t>r s a y ı s ı , m</t>
        </is>
      </c>
      <c r="E37" s="4" t="inlineStr">
        <is>
          <t>n</t>
        </is>
      </c>
      <c r="F37" s="6" t="n">
        <v>2.52</v>
      </c>
      <c r="G37" s="6" t="n">
        <v>2.2</v>
      </c>
      <c r="H37" s="5" t="n">
        <v>6</v>
      </c>
      <c r="I37" s="5" t="n">
        <v>1</v>
      </c>
      <c r="J37" s="5" t="n">
        <v>1</v>
      </c>
      <c r="K37" s="4" t="inlineStr">
        <is>
          <t>%</t>
        </is>
      </c>
      <c r="L37" s="6" t="n">
        <v>15.1</v>
      </c>
      <c r="M37" s="5" t="n">
        <v>1</v>
      </c>
      <c r="N37" s="5" t="n">
        <v>12</v>
      </c>
      <c r="O37" s="5" t="n">
        <v>99</v>
      </c>
      <c r="P37" s="5" t="n">
        <v>1</v>
      </c>
      <c r="Q37" s="5" t="n">
        <v>6</v>
      </c>
      <c r="R37" s="4" t="inlineStr">
        <is>
          <t>%</t>
        </is>
      </c>
    </row>
    <row r="39">
      <c r="A39" s="4" t="inlineStr">
        <is>
          <t>K</t>
        </is>
      </c>
      <c r="B39" s="4" t="inlineStr">
        <is>
          <t>o n</t>
        </is>
      </c>
      <c r="C39" s="4" t="inlineStr">
        <is>
          <t>m</t>
        </is>
      </c>
      <c r="D39" s="4" t="inlineStr">
        <is>
          <t>a</t>
        </is>
      </c>
      <c r="E39" s="5" t="n">
        <v>14255</v>
      </c>
      <c r="F39" s="6" t="n">
        <v>12.7</v>
      </c>
      <c r="G39" s="5" t="n">
        <v>35</v>
      </c>
      <c r="H39" s="5" t="n">
        <v>1</v>
      </c>
      <c r="I39" s="5" t="n">
        <v>2</v>
      </c>
      <c r="J39" s="4" t="inlineStr">
        <is>
          <t>%</t>
        </is>
      </c>
      <c r="K39" s="6" t="n">
        <v>85.8</v>
      </c>
      <c r="L39" s="5" t="n">
        <v>0</v>
      </c>
      <c r="M39" s="6" t="n">
        <v>73.3</v>
      </c>
      <c r="N39" s="5" t="n">
        <v>83</v>
      </c>
      <c r="O39" s="5" t="n">
        <v>1</v>
      </c>
      <c r="P39" s="5" t="n">
        <v>7</v>
      </c>
      <c r="Q39" s="4" t="inlineStr">
        <is>
          <t>%</t>
        </is>
      </c>
    </row>
    <row r="41">
      <c r="A41" s="4" t="inlineStr">
        <is>
          <t>K</t>
        </is>
      </c>
      <c r="B41" s="4" t="inlineStr">
        <is>
          <t>o lt</t>
        </is>
      </c>
      <c r="C41" s="4" t="inlineStr">
        <is>
          <t>u k</t>
        </is>
      </c>
      <c r="D41" s="4" t="inlineStr">
        <is>
          <t>s a y ı s ı , m n</t>
        </is>
      </c>
      <c r="E41" s="6" t="n">
        <v>2.96</v>
      </c>
      <c r="F41" s="6" t="n">
        <v>2.6</v>
      </c>
      <c r="G41" s="5" t="n">
        <v>3</v>
      </c>
      <c r="H41" s="5" t="n">
        <v>1</v>
      </c>
      <c r="I41" s="5" t="n">
        <v>3</v>
      </c>
      <c r="J41" s="4" t="inlineStr">
        <is>
          <t>%</t>
        </is>
      </c>
      <c r="K41" s="6" t="n">
        <v>17.9</v>
      </c>
      <c r="L41" s="5" t="n">
        <v>2</v>
      </c>
      <c r="M41" s="5" t="n">
        <v>15</v>
      </c>
      <c r="N41" s="5" t="n">
        <v>20</v>
      </c>
      <c r="O41" s="5" t="n">
        <v>1</v>
      </c>
      <c r="P41" s="5" t="n">
        <v>8</v>
      </c>
      <c r="Q41" s="4" t="inlineStr">
        <is>
          <t>%</t>
        </is>
      </c>
    </row>
    <row r="43">
      <c r="A43" s="4" t="inlineStr">
        <is>
          <t>D ı</t>
        </is>
      </c>
      <c r="B43" s="4" t="inlineStr">
        <is>
          <t>ş H a t l</t>
        </is>
      </c>
      <c r="C43" s="4" t="inlineStr">
        <is>
          <t>a r *</t>
        </is>
      </c>
    </row>
    <row r="44">
      <c r="A44" s="4" t="inlineStr">
        <is>
          <t>D</t>
        </is>
      </c>
      <c r="B44" s="4" t="inlineStr">
        <is>
          <t>o l</t>
        </is>
      </c>
      <c r="C44" s="4" t="inlineStr">
        <is>
          <t>u l</t>
        </is>
      </c>
      <c r="D44" s="4" t="inlineStr">
        <is>
          <t>u k O r a n ı</t>
        </is>
      </c>
      <c r="E44" s="7" t="n">
        <v>0.8490000000000001</v>
      </c>
      <c r="F44" s="5" t="n">
        <v>86</v>
      </c>
      <c r="G44" s="4" t="inlineStr">
        <is>
          <t>%</t>
        </is>
      </c>
      <c r="H44" s="4" t="inlineStr">
        <is>
          <t>-</t>
        </is>
      </c>
      <c r="I44" s="6" t="n">
        <v>1.1</v>
      </c>
      <c r="J44" s="4" t="inlineStr">
        <is>
          <t>%</t>
        </is>
      </c>
      <c r="K44" s="6" t="n">
        <v>84.3</v>
      </c>
      <c r="L44" s="4" t="inlineStr">
        <is>
          <t>%</t>
        </is>
      </c>
      <c r="M44" s="5" t="n">
        <v>85</v>
      </c>
      <c r="N44" s="7" t="n">
        <v>0.04</v>
      </c>
      <c r="O44" s="5" t="n">
        <v>-1</v>
      </c>
      <c r="P44" s="6" t="n">
        <v>0.1</v>
      </c>
      <c r="Q44" s="4" t="inlineStr">
        <is>
          <t>%</t>
        </is>
      </c>
    </row>
    <row r="46">
      <c r="A46" s="4" t="inlineStr">
        <is>
          <t>A</t>
        </is>
      </c>
      <c r="B46" s="4" t="inlineStr">
        <is>
          <t>S K</t>
        </is>
      </c>
      <c r="C46" s="4" t="inlineStr">
        <is>
          <t>(</t>
        </is>
      </c>
      <c r="D46" s="4" t="inlineStr">
        <is>
          <t>m ln k m )</t>
        </is>
      </c>
      <c r="E46" s="5" t="n">
        <v>6097</v>
      </c>
      <c r="F46" s="6" t="n">
        <v>5.39</v>
      </c>
      <c r="G46" s="5" t="n">
        <v>6</v>
      </c>
      <c r="H46" s="5" t="n">
        <v>1</v>
      </c>
      <c r="I46" s="5" t="n">
        <v>3</v>
      </c>
      <c r="J46" s="4" t="inlineStr">
        <is>
          <t>%</t>
        </is>
      </c>
      <c r="K46" s="6" t="n">
        <v>36.1</v>
      </c>
      <c r="L46" s="5" t="n">
        <v>10</v>
      </c>
      <c r="M46" s="6" t="n">
        <v>30.9</v>
      </c>
      <c r="N46" s="5" t="n">
        <v>52</v>
      </c>
      <c r="O46" s="5" t="n">
        <v>1</v>
      </c>
      <c r="P46" s="5" t="n">
        <v>7</v>
      </c>
      <c r="Q46" s="4" t="inlineStr">
        <is>
          <t>%</t>
        </is>
      </c>
    </row>
    <row r="48">
      <c r="A48" s="4" t="inlineStr">
        <is>
          <t>K</t>
        </is>
      </c>
      <c r="B48" s="4" t="inlineStr">
        <is>
          <t>o n</t>
        </is>
      </c>
      <c r="C48" s="4" t="inlineStr">
        <is>
          <t>m</t>
        </is>
      </c>
      <c r="D48" s="4" t="inlineStr">
        <is>
          <t>a b a ş ı n a M</t>
        </is>
      </c>
      <c r="E48" s="4" t="inlineStr">
        <is>
          <t>i s a</t>
        </is>
      </c>
      <c r="F48" s="4" t="inlineStr">
        <is>
          <t>f i r</t>
        </is>
      </c>
      <c r="G48" s="5" t="n">
        <v>176</v>
      </c>
      <c r="H48" s="5" t="n">
        <v>178</v>
      </c>
      <c r="I48" s="4" t="inlineStr">
        <is>
          <t>-</t>
        </is>
      </c>
      <c r="J48" s="5" t="n">
        <v>1</v>
      </c>
      <c r="K48" s="4" t="inlineStr">
        <is>
          <t>%</t>
        </is>
      </c>
      <c r="L48" s="5" t="n">
        <v>17</v>
      </c>
      <c r="M48" s="5" t="n">
        <v>6</v>
      </c>
      <c r="N48" s="5" t="n">
        <v>17</v>
      </c>
      <c r="O48" s="5" t="n">
        <v>7</v>
      </c>
      <c r="P48" s="7" t="n">
        <v>0</v>
      </c>
    </row>
    <row r="50">
      <c r="A50" s="4" t="inlineStr">
        <is>
          <t>* C</t>
        </is>
      </c>
      <c r="B50" s="4" t="inlineStr">
        <is>
          <t>h a r t e r d</t>
        </is>
      </c>
      <c r="C50" s="4" t="inlineStr">
        <is>
          <t>a h il</t>
        </is>
      </c>
    </row>
    <row r="52">
      <c r="A52" s="4" t="inlineStr">
        <is>
          <t>K a</t>
        </is>
      </c>
      <c r="B52" s="4" t="inlineStr">
        <is>
          <t>r b o n</t>
        </is>
      </c>
      <c r="C52" s="4" t="inlineStr">
        <is>
          <t>E m i s y o</t>
        </is>
      </c>
      <c r="D52" s="4" t="inlineStr">
        <is>
          <t>n u</t>
        </is>
      </c>
      <c r="E52" s="4" t="inlineStr">
        <is>
          <t>İ s</t>
        </is>
      </c>
      <c r="F52" s="4" t="inlineStr">
        <is>
          <t>t a t i s t i k l e r i</t>
        </is>
      </c>
    </row>
    <row r="54">
      <c r="A54" s="4" t="inlineStr">
        <is>
          <t>A Y L I K</t>
        </is>
      </c>
      <c r="B54" s="5" t="n">
        <v>202</v>
      </c>
      <c r="C54" s="5" t="n">
        <v>5</v>
      </c>
      <c r="D54" s="5" t="n">
        <v>2</v>
      </c>
      <c r="E54" s="5" t="n">
        <v>2</v>
      </c>
      <c r="F54" s="4" t="inlineStr">
        <is>
          <t>4 K</t>
        </is>
      </c>
      <c r="G54" s="4" t="inlineStr">
        <is>
          <t>Ü M Ü L</t>
        </is>
      </c>
      <c r="H54" s="4" t="inlineStr">
        <is>
          <t>A T İ F</t>
        </is>
      </c>
      <c r="I54" s="5" t="n">
        <v>202</v>
      </c>
      <c r="J54" s="5" t="n">
        <v>5</v>
      </c>
      <c r="K54" s="5" t="n">
        <v>2</v>
      </c>
      <c r="L54" s="5" t="n">
        <v>2</v>
      </c>
      <c r="M54" s="5" t="n">
        <v>4</v>
      </c>
    </row>
    <row r="56">
      <c r="A56" s="4" t="inlineStr">
        <is>
          <t>C O</t>
        </is>
      </c>
      <c r="B56" s="4" t="inlineStr">
        <is>
          <t>2 g r a</t>
        </is>
      </c>
      <c r="C56" s="4" t="inlineStr">
        <is>
          <t>m / R P K</t>
        </is>
      </c>
      <c r="D56" s="4" t="inlineStr">
        <is>
          <t>O c a k</t>
        </is>
      </c>
      <c r="E56" s="5" t="n">
        <v>58</v>
      </c>
      <c r="F56" s="5" t="n">
        <v>2</v>
      </c>
      <c r="G56" s="5" t="n">
        <v>6</v>
      </c>
      <c r="H56" s="5" t="n">
        <v>0</v>
      </c>
      <c r="I56" s="5" t="n">
        <v>2</v>
      </c>
      <c r="J56" s="4" t="inlineStr">
        <is>
          <t>1 A</t>
        </is>
      </c>
      <c r="K56" s="5" t="n">
        <v>58</v>
      </c>
      <c r="L56" s="5" t="n">
        <v>2</v>
      </c>
      <c r="M56" s="5" t="n">
        <v>6</v>
      </c>
      <c r="N56" s="5" t="n">
        <v>0</v>
      </c>
      <c r="O56" s="5" t="n">
        <v>2</v>
      </c>
    </row>
    <row r="58">
      <c r="A58" s="4" t="inlineStr">
        <is>
          <t>Ş u b a t</t>
        </is>
      </c>
      <c r="B58" s="5" t="n">
        <v>55</v>
      </c>
      <c r="C58" s="5" t="n">
        <v>5</v>
      </c>
      <c r="D58" s="5" t="n">
        <v>5</v>
      </c>
      <c r="E58" s="5" t="n">
        <v>7</v>
      </c>
      <c r="F58" s="5" t="n">
        <v>2</v>
      </c>
      <c r="G58" s="4" t="inlineStr">
        <is>
          <t>2 A</t>
        </is>
      </c>
      <c r="H58" s="5" t="n">
        <v>56</v>
      </c>
      <c r="I58" s="5" t="n">
        <v>9</v>
      </c>
      <c r="J58" s="5" t="n">
        <v>5</v>
      </c>
      <c r="K58" s="5" t="n">
        <v>8</v>
      </c>
      <c r="L58" s="5" t="n">
        <v>7</v>
      </c>
    </row>
    <row r="60">
      <c r="A60" s="4" t="inlineStr">
        <is>
          <t>M a r t</t>
        </is>
      </c>
      <c r="B60" s="5" t="n">
        <v>57</v>
      </c>
      <c r="C60" s="5" t="n">
        <v>5</v>
      </c>
      <c r="D60" s="5" t="n">
        <v>5</v>
      </c>
      <c r="E60" s="5" t="n">
        <v>7</v>
      </c>
      <c r="F60" s="5" t="n">
        <v>2</v>
      </c>
      <c r="G60" s="4" t="inlineStr">
        <is>
          <t>3 A</t>
        </is>
      </c>
      <c r="H60" s="5" t="n">
        <v>57</v>
      </c>
      <c r="I60" s="5" t="n">
        <v>1</v>
      </c>
      <c r="J60" s="5" t="n">
        <v>5</v>
      </c>
      <c r="K60" s="5" t="n">
        <v>8</v>
      </c>
      <c r="L60" s="5" t="n">
        <v>2</v>
      </c>
    </row>
    <row r="62">
      <c r="A62" s="4" t="inlineStr">
        <is>
          <t>N i s a n</t>
        </is>
      </c>
      <c r="B62" s="5" t="n">
        <v>56</v>
      </c>
      <c r="C62" s="5" t="n">
        <v>8</v>
      </c>
      <c r="D62" s="5" t="n">
        <v>5</v>
      </c>
      <c r="E62" s="5" t="n">
        <v>7</v>
      </c>
      <c r="F62" s="5" t="n">
        <v>2</v>
      </c>
      <c r="G62" s="4" t="inlineStr">
        <is>
          <t>4 A</t>
        </is>
      </c>
      <c r="H62" s="5" t="n">
        <v>57</v>
      </c>
      <c r="I62" s="5" t="n">
        <v>0</v>
      </c>
      <c r="J62" s="5" t="n">
        <v>5</v>
      </c>
      <c r="K62" s="5" t="n">
        <v>7</v>
      </c>
      <c r="L62" s="5" t="n">
        <v>9</v>
      </c>
    </row>
    <row r="64">
      <c r="A64" s="4" t="inlineStr">
        <is>
          <t>M a y ı s</t>
        </is>
      </c>
      <c r="B64" s="5" t="n">
        <v>57</v>
      </c>
      <c r="C64" s="5" t="n">
        <v>8</v>
      </c>
      <c r="D64" s="5" t="n">
        <v>5</v>
      </c>
      <c r="E64" s="5" t="n">
        <v>7</v>
      </c>
      <c r="F64" s="5" t="n">
        <v>9</v>
      </c>
      <c r="G64" s="4" t="inlineStr">
        <is>
          <t>5 A</t>
        </is>
      </c>
      <c r="H64" s="5" t="n">
        <v>57</v>
      </c>
      <c r="I64" s="5" t="n">
        <v>2</v>
      </c>
      <c r="J64" s="5" t="n">
        <v>5</v>
      </c>
      <c r="K64" s="5" t="n">
        <v>7</v>
      </c>
      <c r="L64" s="5" t="n">
        <v>9</v>
      </c>
    </row>
    <row r="66">
      <c r="A66" s="4" t="inlineStr">
        <is>
          <t>H a z i r a n</t>
        </is>
      </c>
      <c r="B66" s="5" t="n">
        <v>57</v>
      </c>
      <c r="C66" s="5" t="n">
        <v>8</v>
      </c>
      <c r="D66" s="5" t="n">
        <v>6</v>
      </c>
      <c r="E66" s="5" t="n">
        <v>0</v>
      </c>
      <c r="F66" s="5" t="n">
        <v>4</v>
      </c>
      <c r="G66" s="4" t="inlineStr">
        <is>
          <t>6 A</t>
        </is>
      </c>
      <c r="H66" s="5" t="n">
        <v>57</v>
      </c>
      <c r="I66" s="5" t="n">
        <v>3</v>
      </c>
      <c r="J66" s="5" t="n">
        <v>5</v>
      </c>
      <c r="K66" s="5" t="n">
        <v>8</v>
      </c>
      <c r="L66" s="5" t="n">
        <v>4</v>
      </c>
    </row>
    <row r="68">
      <c r="A68" s="4" t="inlineStr">
        <is>
          <t>T</t>
        </is>
      </c>
      <c r="B68" s="4" t="inlineStr">
        <is>
          <t>e m m u z</t>
        </is>
      </c>
      <c r="C68" s="5" t="n">
        <v>58</v>
      </c>
      <c r="D68" s="5" t="n">
        <v>7</v>
      </c>
      <c r="E68" s="5" t="n">
        <v>5</v>
      </c>
      <c r="F68" s="5" t="n">
        <v>9</v>
      </c>
      <c r="G68" s="5" t="n">
        <v>4</v>
      </c>
      <c r="H68" s="4" t="inlineStr">
        <is>
          <t>7 A</t>
        </is>
      </c>
      <c r="I68" s="5" t="n">
        <v>57</v>
      </c>
      <c r="J68" s="5" t="n">
        <v>5</v>
      </c>
      <c r="K68" s="5" t="n">
        <v>5</v>
      </c>
      <c r="L68" s="5" t="n">
        <v>8</v>
      </c>
      <c r="M68" s="5" t="n">
        <v>6</v>
      </c>
    </row>
    <row r="70">
      <c r="A70" s="4" t="inlineStr">
        <is>
          <t>Y I L</t>
        </is>
      </c>
      <c r="B70" s="4" t="inlineStr">
        <is>
          <t>L I K</t>
        </is>
      </c>
      <c r="C70" s="5" t="n">
        <v>2019</v>
      </c>
      <c r="D70" s="5" t="n">
        <v>202</v>
      </c>
      <c r="E70" s="5" t="n">
        <v>0</v>
      </c>
      <c r="F70" s="5" t="n">
        <v>2</v>
      </c>
      <c r="G70" s="5" t="n">
        <v>2</v>
      </c>
      <c r="H70" s="5" t="n">
        <v>1</v>
      </c>
      <c r="I70" s="5" t="n">
        <v>202</v>
      </c>
      <c r="J70" s="5" t="n">
        <v>2</v>
      </c>
      <c r="K70" s="5" t="n">
        <v>202</v>
      </c>
      <c r="L70" s="5" t="n">
        <v>3</v>
      </c>
      <c r="M70" s="5" t="n">
        <v>2</v>
      </c>
      <c r="N70" s="5" t="n">
        <v>2</v>
      </c>
      <c r="O70" s="5" t="n">
        <v>4</v>
      </c>
    </row>
    <row r="72">
      <c r="A72" s="4" t="inlineStr">
        <is>
          <t>C O</t>
        </is>
      </c>
      <c r="B72" s="4" t="inlineStr">
        <is>
          <t>2 g r a</t>
        </is>
      </c>
      <c r="C72" s="4" t="inlineStr">
        <is>
          <t>m / R P K</t>
        </is>
      </c>
      <c r="D72" s="6" t="n">
        <v>65.09999999999999</v>
      </c>
      <c r="E72" s="5" t="n">
        <v>71</v>
      </c>
      <c r="F72" s="5" t="n">
        <v>3</v>
      </c>
      <c r="G72" s="5" t="n">
        <v>7</v>
      </c>
      <c r="H72" s="5" t="n">
        <v>1</v>
      </c>
      <c r="I72" s="5" t="n">
        <v>0</v>
      </c>
      <c r="J72" s="5" t="n">
        <v>62</v>
      </c>
      <c r="K72" s="5" t="n">
        <v>1</v>
      </c>
      <c r="L72" s="5" t="n">
        <v>61</v>
      </c>
      <c r="M72" s="5" t="n">
        <v>3</v>
      </c>
      <c r="N72" s="5" t="n">
        <v>5</v>
      </c>
      <c r="O72" s="5" t="n">
        <v>8</v>
      </c>
      <c r="P72" s="5" t="n">
        <v>3</v>
      </c>
    </row>
    <row r="73">
      <c r="A73" s="4" t="inlineStr">
        <is>
          <t>Karb</t>
        </is>
      </c>
      <c r="B73" s="4" t="inlineStr">
        <is>
          <t>on Emi</t>
        </is>
      </c>
      <c r="C73" s="4" t="inlineStr">
        <is>
          <t>syonu İstat</t>
        </is>
      </c>
      <c r="D73" s="4" t="inlineStr">
        <is>
          <t>istik</t>
        </is>
      </c>
      <c r="E73" s="4" t="inlineStr">
        <is>
          <t>leri</t>
        </is>
      </c>
      <c r="F73" s="4" t="inlineStr">
        <is>
          <t>nde (grCO2/R</t>
        </is>
      </c>
      <c r="G73" s="4" t="inlineStr">
        <is>
          <t>PK)</t>
        </is>
      </c>
      <c r="H73" s="4" t="inlineStr">
        <is>
          <t>jet yakıtı emisyon</t>
        </is>
      </c>
      <c r="I73" s="4" t="inlineStr">
        <is>
          <t>katsayısı ba</t>
        </is>
      </c>
      <c r="J73" s="4" t="inlineStr">
        <is>
          <t>z yıl ve tüm</t>
        </is>
      </c>
      <c r="K73" s="4" t="inlineStr">
        <is>
          <t>raporlanan d</t>
        </is>
      </c>
      <c r="L73" s="4" t="inlineStr">
        <is>
          <t>öne</t>
        </is>
      </c>
      <c r="M73" s="4" t="inlineStr">
        <is>
          <t>ml</t>
        </is>
      </c>
      <c r="N73" s="4" t="inlineStr">
        <is>
          <t>er için 3,16</t>
        </is>
      </c>
      <c r="O73" s="4" t="inlineStr">
        <is>
          <t>olarak ku</t>
        </is>
      </c>
      <c r="P73" s="4" t="inlineStr">
        <is>
          <t>llanılmıştır.</t>
        </is>
      </c>
    </row>
    <row r="75">
      <c r="A75" s="4" t="inlineStr">
        <is>
          <t>Arz</t>
        </is>
      </c>
      <c r="B75" s="4" t="inlineStr">
        <is>
          <t>edilen</t>
        </is>
      </c>
      <c r="C75" s="4" t="inlineStr">
        <is>
          <t>Koltuk Ki</t>
        </is>
      </c>
      <c r="D75" s="4" t="inlineStr">
        <is>
          <t>lom</t>
        </is>
      </c>
      <c r="E75" s="4" t="inlineStr">
        <is>
          <t>et</t>
        </is>
      </c>
      <c r="F75" s="4" t="inlineStr">
        <is>
          <t>re (ASK) = Uç</t>
        </is>
      </c>
      <c r="G75" s="4" t="inlineStr">
        <is>
          <t>uşa</t>
        </is>
      </c>
      <c r="H75" s="4" t="inlineStr">
        <is>
          <t>arz edilen kol</t>
        </is>
      </c>
      <c r="I75" s="4" t="inlineStr">
        <is>
          <t>tuk sayısı x</t>
        </is>
      </c>
      <c r="J75" s="4" t="inlineStr">
        <is>
          <t>Ortalama</t>
        </is>
      </c>
      <c r="K75" s="4" t="inlineStr">
        <is>
          <t>Uçuş Mesa</t>
        </is>
      </c>
      <c r="L75" s="4" t="inlineStr">
        <is>
          <t>fes</t>
        </is>
      </c>
      <c r="M75" s="4" t="inlineStr">
        <is>
          <t>i</t>
        </is>
      </c>
    </row>
    <row r="77">
      <c r="A77" s="4" t="inlineStr">
        <is>
          <t>Dol</t>
        </is>
      </c>
      <c r="B77" s="4" t="inlineStr">
        <is>
          <t>uluk Or</t>
        </is>
      </c>
      <c r="C77" s="4" t="inlineStr">
        <is>
          <t>anı = Bile</t>
        </is>
      </c>
      <c r="D77" s="4" t="inlineStr">
        <is>
          <t>tle</t>
        </is>
      </c>
      <c r="E77" s="4" t="inlineStr">
        <is>
          <t>nm</t>
        </is>
      </c>
      <c r="F77" s="4" t="inlineStr">
        <is>
          <t>iş misafir sa</t>
        </is>
      </c>
      <c r="G77" s="4" t="inlineStr">
        <is>
          <t>yısı</t>
        </is>
      </c>
      <c r="H77" s="4" t="inlineStr">
        <is>
          <t>/ Toplam koltu</t>
        </is>
      </c>
      <c r="I77" s="4" t="inlineStr">
        <is>
          <t>k sayısı</t>
        </is>
      </c>
    </row>
    <row r="79">
      <c r="A79" s="4" t="inlineStr">
        <is>
          <t>RPK</t>
        </is>
      </c>
      <c r="B79" s="4" t="inlineStr">
        <is>
          <t>(Reve</t>
        </is>
      </c>
      <c r="C79" s="4" t="inlineStr">
        <is>
          <t>nue Passe</t>
        </is>
      </c>
      <c r="D79" s="4" t="inlineStr">
        <is>
          <t>ng</t>
        </is>
      </c>
      <c r="E79" s="4" t="inlineStr">
        <is>
          <t>er</t>
        </is>
      </c>
      <c r="F79" s="4" t="inlineStr">
        <is>
          <t>Kilometer):</t>
        </is>
      </c>
      <c r="G79" s="4" t="inlineStr">
        <is>
          <t>Ücre</t>
        </is>
      </c>
      <c r="H79" s="4" t="inlineStr">
        <is>
          <t>tli Yolcu Kilom</t>
        </is>
      </c>
      <c r="I79" s="4" t="inlineStr">
        <is>
          <t>etre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56"/>
  <sheetViews>
    <sheetView workbookViewId="0">
      <selection activeCell="A1" sqref="A1"/>
    </sheetView>
  </sheetViews>
  <sheetFormatPr baseColWidth="8" defaultRowHeight="15"/>
  <cols>
    <col width="15" customWidth="1" min="1" max="1"/>
    <col width="15" customWidth="1" min="2" max="2"/>
    <col width="18" customWidth="1" min="3" max="3"/>
    <col width="12" customWidth="1" min="4" max="4"/>
    <col width="20" customWidth="1" min="5" max="5"/>
    <col width="12" customWidth="1" min="6" max="6"/>
    <col width="12" customWidth="1" min="7" max="7"/>
    <col width="20" customWidth="1" min="8" max="8"/>
    <col width="17" customWidth="1" min="9" max="9"/>
    <col width="24" customWidth="1" min="10" max="10"/>
    <col width="12" customWidth="1" min="11" max="11"/>
    <col width="12" customWidth="1" min="12" max="12"/>
    <col width="12" customWidth="1" min="13" max="13"/>
    <col width="12" customWidth="1" min="14" max="14"/>
    <col width="12" customWidth="1" min="15" max="15"/>
    <col width="16" customWidth="1" min="16" max="16"/>
    <col width="12" customWidth="1" min="17" max="17"/>
    <col width="12" customWidth="1" min="18" max="18"/>
  </cols>
  <sheetData>
    <row r="1">
      <c r="A1" s="4" t="inlineStr">
        <is>
          <t>P E G A S</t>
        </is>
      </c>
      <c r="B1" s="4" t="inlineStr">
        <is>
          <t>U S H A</t>
        </is>
      </c>
      <c r="C1" s="4" t="inlineStr">
        <is>
          <t>V A T A Ş I M</t>
        </is>
      </c>
      <c r="D1" s="4" t="inlineStr">
        <is>
          <t>A C</t>
        </is>
      </c>
      <c r="E1" s="4" t="inlineStr">
        <is>
          <t>I L I Ğ I</t>
        </is>
      </c>
      <c r="F1" s="4" t="inlineStr">
        <is>
          <t>A .</t>
        </is>
      </c>
      <c r="G1" s="4" t="inlineStr">
        <is>
          <t>Ş .</t>
        </is>
      </c>
    </row>
    <row r="2">
      <c r="A2" s="3" t="inlineStr">
        <is>
          <t>A Ğ U S T</t>
        </is>
      </c>
      <c r="B2" s="3" t="inlineStr">
        <is>
          <t>O S 2 0</t>
        </is>
      </c>
      <c r="C2" s="3" t="inlineStr">
        <is>
          <t>2 5 T R A F İ K</t>
        </is>
      </c>
      <c r="D2" s="3" t="inlineStr">
        <is>
          <t>S O</t>
        </is>
      </c>
      <c r="E2" s="3" t="inlineStr">
        <is>
          <t>N U Ç</t>
        </is>
      </c>
      <c r="F2" s="3" t="inlineStr">
        <is>
          <t>L A</t>
        </is>
      </c>
      <c r="G2" s="3" t="inlineStr">
        <is>
          <t>R I</t>
        </is>
      </c>
    </row>
    <row r="3">
      <c r="A3" s="4" t="inlineStr">
        <is>
          <t>A Y L I K</t>
        </is>
      </c>
      <c r="B3" s="4" t="inlineStr">
        <is>
          <t>K Ü</t>
        </is>
      </c>
      <c r="C3" s="4" t="inlineStr">
        <is>
          <t>M</t>
        </is>
      </c>
      <c r="D3" s="4" t="inlineStr">
        <is>
          <t>Ü L</t>
        </is>
      </c>
      <c r="E3" s="4" t="inlineStr">
        <is>
          <t>A T İ F</t>
        </is>
      </c>
    </row>
    <row r="4">
      <c r="A4" s="4" t="inlineStr">
        <is>
          <t>A ğ u s t o s</t>
        </is>
      </c>
      <c r="B4" s="4" t="inlineStr">
        <is>
          <t>A ğ u s t o s</t>
        </is>
      </c>
      <c r="C4" s="4" t="inlineStr">
        <is>
          <t>' 2</t>
        </is>
      </c>
      <c r="D4" s="4" t="inlineStr">
        <is>
          <t>5 / '</t>
        </is>
      </c>
      <c r="E4" s="5" t="n">
        <v>24</v>
      </c>
      <c r="F4" s="4" t="inlineStr">
        <is>
          <t>O c</t>
        </is>
      </c>
      <c r="G4" s="4" t="inlineStr">
        <is>
          <t>a . -</t>
        </is>
      </c>
      <c r="H4" s="4" t="inlineStr">
        <is>
          <t>A ğ u O</t>
        </is>
      </c>
      <c r="I4" s="4" t="inlineStr">
        <is>
          <t>c</t>
        </is>
      </c>
      <c r="J4" s="4" t="inlineStr">
        <is>
          <t>a . - A</t>
        </is>
      </c>
      <c r="K4" s="4" t="inlineStr">
        <is>
          <t>ğ u '</t>
        </is>
      </c>
      <c r="L4" s="4" t="inlineStr">
        <is>
          <t>2 5 / '</t>
        </is>
      </c>
      <c r="M4" s="5" t="n">
        <v>2</v>
      </c>
    </row>
    <row r="6">
      <c r="A6" s="4" t="inlineStr">
        <is>
          <t>2 0 2 5</t>
        </is>
      </c>
      <c r="B6" s="5" t="n">
        <v>2024</v>
      </c>
      <c r="C6" s="4" t="inlineStr">
        <is>
          <t>%</t>
        </is>
      </c>
      <c r="D6" s="4" t="inlineStr">
        <is>
          <t>D</t>
        </is>
      </c>
      <c r="E6" s="4" t="inlineStr">
        <is>
          <t>e ğ .</t>
        </is>
      </c>
      <c r="F6" s="5" t="n">
        <v>2</v>
      </c>
      <c r="G6" s="5" t="n">
        <v>2</v>
      </c>
      <c r="H6" s="5" t="n">
        <v>5</v>
      </c>
      <c r="I6" s="5" t="n">
        <v>2</v>
      </c>
      <c r="J6" s="5" t="n">
        <v>2</v>
      </c>
      <c r="K6" s="5" t="n">
        <v>4</v>
      </c>
      <c r="L6" s="4" t="inlineStr">
        <is>
          <t>% D</t>
        </is>
      </c>
      <c r="M6" s="4" t="inlineStr">
        <is>
          <t>e</t>
        </is>
      </c>
    </row>
    <row r="7">
      <c r="A7" s="4" t="inlineStr">
        <is>
          <t>M i s a f i r</t>
        </is>
      </c>
      <c r="B7" s="4" t="inlineStr">
        <is>
          <t>s a</t>
        </is>
      </c>
      <c r="C7" s="4" t="inlineStr">
        <is>
          <t>y ı s ı ,</t>
        </is>
      </c>
      <c r="D7" s="4" t="inlineStr">
        <is>
          <t>m n</t>
        </is>
      </c>
      <c r="E7" s="6" t="n">
        <v>4.29</v>
      </c>
      <c r="F7" s="6" t="n">
        <v>3.67</v>
      </c>
      <c r="G7" s="5" t="n">
        <v>1</v>
      </c>
      <c r="H7" s="5" t="n">
        <v>7</v>
      </c>
      <c r="I7" s="4" t="inlineStr">
        <is>
          <t>%</t>
        </is>
      </c>
      <c r="J7" s="5" t="n">
        <v>2</v>
      </c>
      <c r="K7" s="6" t="n">
        <v>7.9</v>
      </c>
      <c r="L7" s="5" t="n">
        <v>4</v>
      </c>
      <c r="M7" s="5" t="n">
        <v>2</v>
      </c>
      <c r="N7" s="6" t="n">
        <v>4.6</v>
      </c>
      <c r="O7" s="5" t="n">
        <v>5</v>
      </c>
      <c r="P7" s="5" t="n">
        <v>13</v>
      </c>
      <c r="Q7" s="4" t="inlineStr">
        <is>
          <t>%</t>
        </is>
      </c>
    </row>
    <row r="8">
      <c r="A8" s="4" t="inlineStr">
        <is>
          <t>K o n m a</t>
        </is>
      </c>
      <c r="B8" s="5" t="n">
        <v>22450</v>
      </c>
      <c r="C8" s="5" t="n">
        <v>19542</v>
      </c>
      <c r="D8" s="5" t="n">
        <v>15</v>
      </c>
      <c r="E8" s="4" t="inlineStr">
        <is>
          <t>%</t>
        </is>
      </c>
      <c r="F8" s="5" t="n">
        <v>15</v>
      </c>
      <c r="G8" s="6" t="n">
        <v>2.2</v>
      </c>
      <c r="H8" s="5" t="n">
        <v>62</v>
      </c>
      <c r="I8" s="5" t="n">
        <v>13</v>
      </c>
      <c r="J8" s="6" t="n">
        <v>5.6</v>
      </c>
      <c r="K8" s="5" t="n">
        <v>11</v>
      </c>
      <c r="L8" s="5" t="n">
        <v>12</v>
      </c>
      <c r="M8" s="4" t="inlineStr">
        <is>
          <t>%</t>
        </is>
      </c>
    </row>
    <row r="10">
      <c r="A10" s="4" t="inlineStr">
        <is>
          <t>K o lt u k s</t>
        </is>
      </c>
      <c r="B10" s="4" t="inlineStr">
        <is>
          <t>a y ı</t>
        </is>
      </c>
      <c r="C10" s="4" t="inlineStr">
        <is>
          <t>s ı , m</t>
        </is>
      </c>
      <c r="D10" s="4" t="inlineStr">
        <is>
          <t>n</t>
        </is>
      </c>
      <c r="E10" s="6" t="n">
        <v>4.72</v>
      </c>
      <c r="F10" s="6" t="n">
        <v>4.07</v>
      </c>
      <c r="G10" s="5" t="n">
        <v>16</v>
      </c>
      <c r="H10" s="4" t="inlineStr">
        <is>
          <t>%</t>
        </is>
      </c>
      <c r="I10" s="5" t="n">
        <v>3</v>
      </c>
      <c r="J10" s="5" t="n">
        <v>2</v>
      </c>
      <c r="K10" s="5" t="n">
        <v>4</v>
      </c>
      <c r="L10" s="5" t="n">
        <v>2</v>
      </c>
      <c r="M10" s="5" t="n">
        <v>8</v>
      </c>
      <c r="N10" s="5" t="n">
        <v>1</v>
      </c>
      <c r="O10" s="5" t="n">
        <v>14</v>
      </c>
      <c r="P10" s="4" t="inlineStr">
        <is>
          <t>%</t>
        </is>
      </c>
    </row>
    <row r="11">
      <c r="A11" s="4" t="inlineStr">
        <is>
          <t>T o p l a</t>
        </is>
      </c>
      <c r="B11" s="4" t="inlineStr">
        <is>
          <t>m</t>
        </is>
      </c>
    </row>
    <row r="12">
      <c r="A12" s="4" t="inlineStr">
        <is>
          <t>D o l u l u</t>
        </is>
      </c>
      <c r="B12" s="4" t="inlineStr">
        <is>
          <t>k O</t>
        </is>
      </c>
      <c r="C12" s="4" t="inlineStr">
        <is>
          <t>r a n ı</t>
        </is>
      </c>
      <c r="D12" s="7" t="n">
        <v>0.909</v>
      </c>
      <c r="E12" s="7" t="n">
        <v>0.9009999999999999</v>
      </c>
      <c r="F12" s="5" t="n">
        <v>0</v>
      </c>
      <c r="G12" s="8" t="n">
        <v>0.7</v>
      </c>
      <c r="H12" s="4" t="inlineStr">
        <is>
          <t>p</t>
        </is>
      </c>
      <c r="I12" s="5" t="n">
        <v>8</v>
      </c>
      <c r="J12" s="6" t="n">
        <v>7.2</v>
      </c>
      <c r="K12" s="4" t="inlineStr">
        <is>
          <t>%</t>
        </is>
      </c>
      <c r="L12" s="5" t="n">
        <v>8</v>
      </c>
      <c r="M12" s="5" t="n">
        <v>8</v>
      </c>
      <c r="N12" s="4" t="inlineStr">
        <is>
          <t>% -</t>
        </is>
      </c>
      <c r="O12" s="6" t="n">
        <v>0.8</v>
      </c>
      <c r="P12" s="4" t="inlineStr">
        <is>
          <t>p</t>
        </is>
      </c>
    </row>
    <row r="13">
      <c r="A13" s="4" t="inlineStr">
        <is>
          <t>A S K ( m</t>
        </is>
      </c>
      <c r="B13" s="4" t="inlineStr">
        <is>
          <t>ln k</t>
        </is>
      </c>
      <c r="C13" s="4" t="inlineStr">
        <is>
          <t>m )</t>
        </is>
      </c>
      <c r="D13" s="5" t="n">
        <v>7642</v>
      </c>
      <c r="E13" s="5" t="n">
        <v>6514</v>
      </c>
      <c r="F13" s="5" t="n">
        <v>17</v>
      </c>
      <c r="G13" s="4" t="inlineStr">
        <is>
          <t>%</t>
        </is>
      </c>
      <c r="H13" s="5" t="n">
        <v>5</v>
      </c>
      <c r="I13" s="6" t="n">
        <v>0.8</v>
      </c>
      <c r="J13" s="5" t="n">
        <v>55</v>
      </c>
      <c r="K13" s="5" t="n">
        <v>4</v>
      </c>
      <c r="L13" s="6" t="n">
        <v>3.9</v>
      </c>
      <c r="M13" s="5" t="n">
        <v>93</v>
      </c>
      <c r="N13" s="5" t="n">
        <v>16</v>
      </c>
      <c r="O13" s="4" t="inlineStr">
        <is>
          <t>%</t>
        </is>
      </c>
    </row>
    <row r="14">
      <c r="A14" s="4" t="inlineStr">
        <is>
          <t>K o n m a</t>
        </is>
      </c>
      <c r="B14" s="4" t="inlineStr">
        <is>
          <t>b a ş</t>
        </is>
      </c>
      <c r="C14" s="4" t="inlineStr">
        <is>
          <t>ı n a</t>
        </is>
      </c>
      <c r="D14" s="4" t="inlineStr">
        <is>
          <t>M is</t>
        </is>
      </c>
      <c r="E14" s="4" t="inlineStr">
        <is>
          <t>a f</t>
        </is>
      </c>
      <c r="F14" s="4" t="inlineStr">
        <is>
          <t>ir</t>
        </is>
      </c>
      <c r="G14" s="5" t="n">
        <v>191</v>
      </c>
      <c r="H14" s="5" t="n">
        <v>188</v>
      </c>
      <c r="I14" s="7" t="n">
        <v>0.02</v>
      </c>
      <c r="J14" s="5" t="n">
        <v>18</v>
      </c>
      <c r="K14" s="5" t="n">
        <v>3</v>
      </c>
      <c r="L14" s="5" t="n">
        <v>182</v>
      </c>
      <c r="M14" s="7" t="n">
        <v>0.01</v>
      </c>
    </row>
    <row r="15">
      <c r="A15" s="4" t="inlineStr">
        <is>
          <t>M i s a f i r</t>
        </is>
      </c>
      <c r="B15" s="4" t="inlineStr">
        <is>
          <t>s a</t>
        </is>
      </c>
      <c r="C15" s="4" t="inlineStr">
        <is>
          <t>y ı s ı ,</t>
        </is>
      </c>
      <c r="D15" s="4" t="inlineStr">
        <is>
          <t>m n</t>
        </is>
      </c>
      <c r="E15" s="6" t="n">
        <v>1.53</v>
      </c>
      <c r="F15" s="6" t="n">
        <v>1.31</v>
      </c>
      <c r="G15" s="5" t="n">
        <v>1</v>
      </c>
      <c r="H15" s="5" t="n">
        <v>7</v>
      </c>
      <c r="I15" s="4" t="inlineStr">
        <is>
          <t>%</t>
        </is>
      </c>
      <c r="J15" s="5" t="n">
        <v>1</v>
      </c>
      <c r="K15" s="5" t="n">
        <v>0</v>
      </c>
      <c r="L15" s="5" t="n">
        <v>6</v>
      </c>
      <c r="M15" s="6" t="n">
        <v>9.300000000000001</v>
      </c>
      <c r="N15" s="5" t="n">
        <v>0</v>
      </c>
      <c r="O15" s="7" t="n">
        <v>0.08</v>
      </c>
    </row>
    <row r="16">
      <c r="A16" s="4" t="inlineStr">
        <is>
          <t>K o n m a</t>
        </is>
      </c>
      <c r="B16" s="5" t="n">
        <v>7406</v>
      </c>
      <c r="C16" s="5" t="n">
        <v>6582</v>
      </c>
      <c r="D16" s="5" t="n">
        <v>13</v>
      </c>
      <c r="E16" s="4" t="inlineStr">
        <is>
          <t>%</t>
        </is>
      </c>
      <c r="F16" s="5" t="n">
        <v>5</v>
      </c>
      <c r="G16" s="6" t="n">
        <v>1.4</v>
      </c>
      <c r="H16" s="5" t="n">
        <v>18</v>
      </c>
      <c r="I16" s="5" t="n">
        <v>4</v>
      </c>
      <c r="J16" s="6" t="n">
        <v>9.199999999999999</v>
      </c>
      <c r="K16" s="5" t="n">
        <v>68</v>
      </c>
      <c r="L16" s="7" t="n">
        <v>0.04</v>
      </c>
    </row>
    <row r="18">
      <c r="A18" s="4" t="inlineStr">
        <is>
          <t>K o lt u k s</t>
        </is>
      </c>
      <c r="B18" s="4" t="inlineStr">
        <is>
          <t>a y ı</t>
        </is>
      </c>
      <c r="C18" s="4" t="inlineStr">
        <is>
          <t>s ı , m</t>
        </is>
      </c>
      <c r="D18" s="4" t="inlineStr">
        <is>
          <t>n</t>
        </is>
      </c>
      <c r="E18" s="6" t="n">
        <v>1.59</v>
      </c>
      <c r="F18" s="6" t="n">
        <v>1.38</v>
      </c>
      <c r="G18" s="5" t="n">
        <v>15</v>
      </c>
      <c r="H18" s="4" t="inlineStr">
        <is>
          <t>%</t>
        </is>
      </c>
      <c r="I18" s="5" t="n">
        <v>1</v>
      </c>
      <c r="J18" s="6" t="n">
        <v>0.9</v>
      </c>
      <c r="K18" s="5" t="n">
        <v>9</v>
      </c>
      <c r="L18" s="5" t="n">
        <v>1</v>
      </c>
      <c r="M18" s="6" t="n">
        <v>0.1</v>
      </c>
      <c r="N18" s="5" t="n">
        <v>3</v>
      </c>
      <c r="O18" s="7" t="n">
        <v>0.08</v>
      </c>
    </row>
    <row r="19">
      <c r="A19" s="4" t="inlineStr">
        <is>
          <t>İ ç H a t l</t>
        </is>
      </c>
      <c r="B19" s="4" t="inlineStr">
        <is>
          <t>a r</t>
        </is>
      </c>
    </row>
    <row r="20">
      <c r="A20" s="4" t="inlineStr">
        <is>
          <t>D o l u l u</t>
        </is>
      </c>
      <c r="B20" s="4" t="inlineStr">
        <is>
          <t>k O</t>
        </is>
      </c>
      <c r="C20" s="4" t="inlineStr">
        <is>
          <t>r a n ı</t>
        </is>
      </c>
      <c r="D20" s="7" t="n">
        <v>0.958</v>
      </c>
      <c r="E20" s="7" t="n">
        <v>0.9429999999999999</v>
      </c>
      <c r="F20" s="5" t="n">
        <v>1</v>
      </c>
      <c r="G20" s="8" t="n">
        <v>0.4</v>
      </c>
      <c r="H20" s="4" t="inlineStr">
        <is>
          <t>p</t>
        </is>
      </c>
      <c r="I20" s="5" t="n">
        <v>9</v>
      </c>
      <c r="J20" s="6" t="n">
        <v>1.6</v>
      </c>
      <c r="K20" s="4" t="inlineStr">
        <is>
          <t>%</t>
        </is>
      </c>
      <c r="L20" s="5" t="n">
        <v>9</v>
      </c>
      <c r="M20" s="6" t="n">
        <v>1.8</v>
      </c>
      <c r="N20" s="4" t="inlineStr">
        <is>
          <t>% -</t>
        </is>
      </c>
      <c r="O20" s="6" t="n">
        <v>0.2</v>
      </c>
      <c r="P20" s="4" t="inlineStr">
        <is>
          <t>p</t>
        </is>
      </c>
    </row>
    <row r="21">
      <c r="A21" s="4" t="inlineStr">
        <is>
          <t>A S K ( m</t>
        </is>
      </c>
      <c r="B21" s="4" t="inlineStr">
        <is>
          <t>ln k</t>
        </is>
      </c>
      <c r="C21" s="4" t="inlineStr">
        <is>
          <t>m )</t>
        </is>
      </c>
      <c r="D21" s="5" t="n">
        <v>1225</v>
      </c>
      <c r="E21" s="5" t="n">
        <v>1011</v>
      </c>
      <c r="F21" s="5" t="n">
        <v>21</v>
      </c>
      <c r="G21" s="4" t="inlineStr">
        <is>
          <t>%</t>
        </is>
      </c>
      <c r="H21" s="5" t="n">
        <v>8</v>
      </c>
      <c r="I21" s="6" t="n">
        <v>0.32</v>
      </c>
      <c r="J21" s="5" t="n">
        <v>9</v>
      </c>
      <c r="K21" s="5" t="n">
        <v>7</v>
      </c>
      <c r="L21" s="6" t="n">
        <v>0.53</v>
      </c>
      <c r="M21" s="5" t="n">
        <v>8</v>
      </c>
      <c r="N21" s="5" t="n">
        <v>10</v>
      </c>
      <c r="O21" s="4" t="inlineStr">
        <is>
          <t>%</t>
        </is>
      </c>
    </row>
    <row r="23">
      <c r="A23" s="4" t="inlineStr">
        <is>
          <t>K o n m a</t>
        </is>
      </c>
      <c r="B23" s="4" t="inlineStr">
        <is>
          <t>b a ş</t>
        </is>
      </c>
      <c r="C23" s="4" t="inlineStr">
        <is>
          <t>ı n a</t>
        </is>
      </c>
      <c r="D23" s="4" t="inlineStr">
        <is>
          <t>M is</t>
        </is>
      </c>
      <c r="E23" s="4" t="inlineStr">
        <is>
          <t>a f</t>
        </is>
      </c>
      <c r="F23" s="4" t="inlineStr">
        <is>
          <t>ir</t>
        </is>
      </c>
      <c r="G23" s="5" t="n">
        <v>206</v>
      </c>
      <c r="H23" s="5" t="n">
        <v>198</v>
      </c>
      <c r="I23" s="7" t="n">
        <v>0.04</v>
      </c>
      <c r="J23" s="5" t="n">
        <v>19</v>
      </c>
      <c r="K23" s="5" t="n">
        <v>6</v>
      </c>
      <c r="L23" s="5" t="n">
        <v>189</v>
      </c>
      <c r="M23" s="7" t="n">
        <v>0.04</v>
      </c>
    </row>
    <row r="24">
      <c r="A24" s="4" t="inlineStr">
        <is>
          <t>M i s a f i r</t>
        </is>
      </c>
      <c r="B24" s="4" t="inlineStr">
        <is>
          <t>s a</t>
        </is>
      </c>
      <c r="C24" s="4" t="inlineStr">
        <is>
          <t>y ı s ı ,</t>
        </is>
      </c>
      <c r="D24" s="4" t="inlineStr">
        <is>
          <t>m n</t>
        </is>
      </c>
      <c r="E24" s="6" t="n">
        <v>2.77</v>
      </c>
      <c r="F24" s="6" t="n">
        <v>2.36</v>
      </c>
      <c r="G24" s="5" t="n">
        <v>1</v>
      </c>
      <c r="H24" s="5" t="n">
        <v>7</v>
      </c>
      <c r="I24" s="4" t="inlineStr">
        <is>
          <t>%</t>
        </is>
      </c>
      <c r="J24" s="5" t="n">
        <v>1</v>
      </c>
      <c r="K24" s="6" t="n">
        <v>7.8</v>
      </c>
      <c r="L24" s="5" t="n">
        <v>7</v>
      </c>
      <c r="M24" s="5" t="n">
        <v>1</v>
      </c>
      <c r="N24" s="6" t="n">
        <v>5.3</v>
      </c>
      <c r="O24" s="5" t="n">
        <v>5</v>
      </c>
      <c r="P24" s="5" t="n">
        <v>16</v>
      </c>
      <c r="Q24" s="4" t="inlineStr">
        <is>
          <t>%</t>
        </is>
      </c>
    </row>
    <row r="25">
      <c r="A25" s="4" t="inlineStr">
        <is>
          <t>K o n m a</t>
        </is>
      </c>
      <c r="B25" s="5" t="n">
        <v>15044</v>
      </c>
      <c r="C25" s="5" t="n">
        <v>12960</v>
      </c>
      <c r="D25" s="5" t="n">
        <v>16</v>
      </c>
      <c r="E25" s="4" t="inlineStr">
        <is>
          <t>%</t>
        </is>
      </c>
      <c r="F25" s="5" t="n">
        <v>10</v>
      </c>
      <c r="G25" s="6" t="n">
        <v>0.8</v>
      </c>
      <c r="H25" s="5" t="n">
        <v>44</v>
      </c>
      <c r="I25" s="5" t="n">
        <v>8</v>
      </c>
      <c r="J25" s="6" t="n">
        <v>6.3</v>
      </c>
      <c r="K25" s="5" t="n">
        <v>43</v>
      </c>
      <c r="L25" s="5" t="n">
        <v>17</v>
      </c>
      <c r="M25" s="4" t="inlineStr">
        <is>
          <t>%</t>
        </is>
      </c>
    </row>
    <row r="27">
      <c r="A27" s="4" t="inlineStr">
        <is>
          <t>K o lt u k s</t>
        </is>
      </c>
      <c r="B27" s="4" t="inlineStr">
        <is>
          <t>a y ı</t>
        </is>
      </c>
      <c r="C27" s="4" t="inlineStr">
        <is>
          <t>s ı , m</t>
        </is>
      </c>
      <c r="D27" s="4" t="inlineStr">
        <is>
          <t>n</t>
        </is>
      </c>
      <c r="E27" s="6" t="n">
        <v>3.13</v>
      </c>
      <c r="F27" s="6" t="n">
        <v>2.69</v>
      </c>
      <c r="G27" s="5" t="n">
        <v>17</v>
      </c>
      <c r="H27" s="4" t="inlineStr">
        <is>
          <t>%</t>
        </is>
      </c>
      <c r="I27" s="5" t="n">
        <v>2</v>
      </c>
      <c r="J27" s="5" t="n">
        <v>1</v>
      </c>
      <c r="K27" s="5" t="n">
        <v>5</v>
      </c>
      <c r="L27" s="5" t="n">
        <v>1</v>
      </c>
      <c r="M27" s="6" t="n">
        <v>7.8</v>
      </c>
      <c r="N27" s="5" t="n">
        <v>8</v>
      </c>
      <c r="O27" s="5" t="n">
        <v>18</v>
      </c>
      <c r="P27" s="4" t="inlineStr">
        <is>
          <t>%</t>
        </is>
      </c>
    </row>
    <row r="28">
      <c r="A28" s="4" t="inlineStr">
        <is>
          <t>D ı ş H a</t>
        </is>
      </c>
      <c r="B28" s="4" t="inlineStr">
        <is>
          <t>t l a r *</t>
        </is>
      </c>
    </row>
    <row r="29">
      <c r="A29" s="4" t="inlineStr">
        <is>
          <t>D o l u l u</t>
        </is>
      </c>
      <c r="B29" s="4" t="inlineStr">
        <is>
          <t>k O</t>
        </is>
      </c>
      <c r="C29" s="4" t="inlineStr">
        <is>
          <t>r a n ı</t>
        </is>
      </c>
      <c r="D29" s="7" t="n">
        <v>0.884</v>
      </c>
      <c r="E29" s="7" t="n">
        <v>0.88</v>
      </c>
      <c r="F29" s="5" t="n">
        <v>0</v>
      </c>
      <c r="G29" s="8" t="n">
        <v>0.4</v>
      </c>
      <c r="H29" s="4" t="inlineStr">
        <is>
          <t>p</t>
        </is>
      </c>
      <c r="I29" s="5" t="n">
        <v>8</v>
      </c>
      <c r="J29" s="6" t="n">
        <v>4.9</v>
      </c>
      <c r="K29" s="4" t="inlineStr">
        <is>
          <t>%</t>
        </is>
      </c>
      <c r="L29" s="5" t="n">
        <v>8</v>
      </c>
      <c r="M29" s="6" t="n">
        <v>5.8</v>
      </c>
      <c r="N29" s="4" t="inlineStr">
        <is>
          <t>% -</t>
        </is>
      </c>
      <c r="O29" s="6" t="n">
        <v>0.9</v>
      </c>
      <c r="P29" s="4" t="inlineStr">
        <is>
          <t>p</t>
        </is>
      </c>
    </row>
    <row r="30">
      <c r="A30" s="4" t="inlineStr">
        <is>
          <t>A S K ( m</t>
        </is>
      </c>
      <c r="B30" s="4" t="inlineStr">
        <is>
          <t>ln k</t>
        </is>
      </c>
      <c r="C30" s="4" t="inlineStr">
        <is>
          <t>m )</t>
        </is>
      </c>
      <c r="D30" s="5" t="n">
        <v>6417</v>
      </c>
      <c r="E30" s="5" t="n">
        <v>5503</v>
      </c>
      <c r="F30" s="5" t="n">
        <v>17</v>
      </c>
      <c r="G30" s="4" t="inlineStr">
        <is>
          <t>%</t>
        </is>
      </c>
      <c r="H30" s="5" t="n">
        <v>4</v>
      </c>
      <c r="I30" s="6" t="n">
        <v>2.5</v>
      </c>
      <c r="J30" s="5" t="n">
        <v>27</v>
      </c>
      <c r="K30" s="5" t="n">
        <v>3</v>
      </c>
      <c r="L30" s="6" t="n">
        <v>6.4</v>
      </c>
      <c r="M30" s="5" t="n">
        <v>55</v>
      </c>
      <c r="N30" s="5" t="n">
        <v>17</v>
      </c>
      <c r="O30" s="4" t="inlineStr">
        <is>
          <t>%</t>
        </is>
      </c>
    </row>
    <row r="31">
      <c r="A31" s="4" t="inlineStr">
        <is>
          <t>K o n m a</t>
        </is>
      </c>
      <c r="B31" s="4" t="inlineStr">
        <is>
          <t>b a ş</t>
        </is>
      </c>
      <c r="C31" s="4" t="inlineStr">
        <is>
          <t>ı n a</t>
        </is>
      </c>
      <c r="D31" s="4" t="inlineStr">
        <is>
          <t>M is</t>
        </is>
      </c>
      <c r="E31" s="4" t="inlineStr">
        <is>
          <t>a f</t>
        </is>
      </c>
      <c r="F31" s="4" t="inlineStr">
        <is>
          <t>ir</t>
        </is>
      </c>
      <c r="G31" s="5" t="n">
        <v>184</v>
      </c>
      <c r="H31" s="5" t="n">
        <v>182</v>
      </c>
      <c r="I31" s="7" t="n">
        <v>0.01</v>
      </c>
      <c r="J31" s="5" t="n">
        <v>17</v>
      </c>
      <c r="K31" s="5" t="n">
        <v>7</v>
      </c>
      <c r="L31" s="5" t="n">
        <v>178</v>
      </c>
      <c r="M31" s="7" t="n">
        <v>0</v>
      </c>
    </row>
    <row r="33">
      <c r="A33" s="4" t="inlineStr">
        <is>
          <t>* C h a r t e</t>
        </is>
      </c>
      <c r="B33" s="4" t="inlineStr">
        <is>
          <t>r d a h il</t>
        </is>
      </c>
    </row>
    <row r="35">
      <c r="A35" s="4" t="inlineStr">
        <is>
          <t>K a r b o</t>
        </is>
      </c>
      <c r="B35" s="4" t="inlineStr">
        <is>
          <t>n E m i</t>
        </is>
      </c>
      <c r="C35" s="4" t="inlineStr">
        <is>
          <t>s y o n u İ s t</t>
        </is>
      </c>
      <c r="D35" s="4" t="inlineStr">
        <is>
          <t>a t i s</t>
        </is>
      </c>
      <c r="E35" s="4" t="inlineStr">
        <is>
          <t>t i k l e</t>
        </is>
      </c>
      <c r="F35" s="4" t="inlineStr">
        <is>
          <t>r i</t>
        </is>
      </c>
    </row>
    <row r="37">
      <c r="A37" s="4" t="inlineStr">
        <is>
          <t>A Y L I K</t>
        </is>
      </c>
      <c r="B37" s="5" t="n">
        <v>2025</v>
      </c>
      <c r="C37" s="5" t="n">
        <v>2</v>
      </c>
      <c r="D37" s="5" t="n">
        <v>2</v>
      </c>
      <c r="E37" s="5" t="n">
        <v>4</v>
      </c>
      <c r="F37" s="4" t="inlineStr">
        <is>
          <t>K Ü M</t>
        </is>
      </c>
      <c r="G37" s="4" t="inlineStr">
        <is>
          <t>Ü L</t>
        </is>
      </c>
      <c r="H37" s="4" t="inlineStr">
        <is>
          <t>A T İ F</t>
        </is>
      </c>
      <c r="I37" s="5" t="n">
        <v>2</v>
      </c>
      <c r="J37" s="5" t="n">
        <v>2</v>
      </c>
      <c r="K37" s="5" t="n">
        <v>5</v>
      </c>
      <c r="L37" s="5" t="n">
        <v>202</v>
      </c>
      <c r="M37" s="5" t="n">
        <v>4</v>
      </c>
    </row>
    <row r="38">
      <c r="A38" s="4" t="inlineStr">
        <is>
          <t>C O 2 g r</t>
        </is>
      </c>
      <c r="B38" s="4" t="inlineStr">
        <is>
          <t>a m / R</t>
        </is>
      </c>
      <c r="C38" s="4" t="inlineStr">
        <is>
          <t>P K</t>
        </is>
      </c>
      <c r="D38" s="4" t="inlineStr">
        <is>
          <t>O c a k</t>
        </is>
      </c>
      <c r="E38" s="6" t="n">
        <v>58.2</v>
      </c>
      <c r="F38" s="5" t="n">
        <v>6</v>
      </c>
      <c r="G38" s="5" t="n">
        <v>0</v>
      </c>
      <c r="H38" s="5" t="n">
        <v>2</v>
      </c>
      <c r="I38" s="4" t="inlineStr">
        <is>
          <t>1 A</t>
        </is>
      </c>
      <c r="J38" s="5" t="n">
        <v>58</v>
      </c>
      <c r="K38" s="5" t="n">
        <v>2</v>
      </c>
      <c r="L38" s="5" t="n">
        <v>60</v>
      </c>
      <c r="M38" s="5" t="n">
        <v>2</v>
      </c>
    </row>
    <row r="40">
      <c r="A40" s="4" t="inlineStr">
        <is>
          <t>Ş u b a t</t>
        </is>
      </c>
      <c r="B40" s="6" t="n">
        <v>55.5</v>
      </c>
      <c r="C40" s="5" t="n">
        <v>5</v>
      </c>
      <c r="D40" s="5" t="n">
        <v>7</v>
      </c>
      <c r="E40" s="5" t="n">
        <v>2</v>
      </c>
      <c r="F40" s="4" t="inlineStr">
        <is>
          <t>2 A</t>
        </is>
      </c>
      <c r="G40" s="5" t="n">
        <v>56</v>
      </c>
      <c r="H40" s="5" t="n">
        <v>9</v>
      </c>
      <c r="I40" s="5" t="n">
        <v>58</v>
      </c>
      <c r="J40" s="5" t="n">
        <v>7</v>
      </c>
    </row>
    <row r="41">
      <c r="A41" s="4" t="inlineStr">
        <is>
          <t>M a r t</t>
        </is>
      </c>
      <c r="B41" s="6" t="n">
        <v>57.5</v>
      </c>
      <c r="C41" s="5" t="n">
        <v>5</v>
      </c>
      <c r="D41" s="5" t="n">
        <v>7</v>
      </c>
      <c r="E41" s="5" t="n">
        <v>2</v>
      </c>
      <c r="F41" s="4" t="inlineStr">
        <is>
          <t>3 A</t>
        </is>
      </c>
      <c r="G41" s="5" t="n">
        <v>57</v>
      </c>
      <c r="H41" s="5" t="n">
        <v>1</v>
      </c>
      <c r="I41" s="5" t="n">
        <v>58</v>
      </c>
      <c r="J41" s="5" t="n">
        <v>2</v>
      </c>
    </row>
    <row r="42">
      <c r="A42" s="4" t="inlineStr">
        <is>
          <t>N i s a n</t>
        </is>
      </c>
      <c r="B42" s="6" t="n">
        <v>56.8</v>
      </c>
      <c r="C42" s="5" t="n">
        <v>5</v>
      </c>
      <c r="D42" s="5" t="n">
        <v>7</v>
      </c>
      <c r="E42" s="5" t="n">
        <v>2</v>
      </c>
      <c r="F42" s="4" t="inlineStr">
        <is>
          <t>4 A</t>
        </is>
      </c>
      <c r="G42" s="5" t="n">
        <v>57</v>
      </c>
      <c r="H42" s="5" t="n">
        <v>0</v>
      </c>
      <c r="I42" s="5" t="n">
        <v>57</v>
      </c>
      <c r="J42" s="5" t="n">
        <v>9</v>
      </c>
    </row>
    <row r="43">
      <c r="A43" s="4" t="inlineStr">
        <is>
          <t>M a y ı s</t>
        </is>
      </c>
      <c r="B43" s="6" t="n">
        <v>57.8</v>
      </c>
      <c r="C43" s="5" t="n">
        <v>5</v>
      </c>
      <c r="D43" s="5" t="n">
        <v>7</v>
      </c>
      <c r="E43" s="5" t="n">
        <v>9</v>
      </c>
      <c r="F43" s="4" t="inlineStr">
        <is>
          <t>5 A</t>
        </is>
      </c>
      <c r="G43" s="5" t="n">
        <v>57</v>
      </c>
      <c r="H43" s="5" t="n">
        <v>2</v>
      </c>
      <c r="I43" s="5" t="n">
        <v>57</v>
      </c>
      <c r="J43" s="5" t="n">
        <v>9</v>
      </c>
    </row>
    <row r="44">
      <c r="A44" s="4" t="inlineStr">
        <is>
          <t>H a z i r a n</t>
        </is>
      </c>
      <c r="B44" s="6" t="n">
        <v>57.8</v>
      </c>
      <c r="C44" s="5" t="n">
        <v>6</v>
      </c>
      <c r="D44" s="5" t="n">
        <v>0</v>
      </c>
      <c r="E44" s="5" t="n">
        <v>4</v>
      </c>
      <c r="F44" s="4" t="inlineStr">
        <is>
          <t>6 A</t>
        </is>
      </c>
      <c r="G44" s="5" t="n">
        <v>57</v>
      </c>
      <c r="H44" s="5" t="n">
        <v>3</v>
      </c>
      <c r="I44" s="5" t="n">
        <v>58</v>
      </c>
      <c r="J44" s="5" t="n">
        <v>4</v>
      </c>
    </row>
    <row r="45">
      <c r="A45" s="4" t="inlineStr">
        <is>
          <t>T</t>
        </is>
      </c>
      <c r="B45" s="4" t="inlineStr">
        <is>
          <t>e m m u z</t>
        </is>
      </c>
      <c r="C45" s="6" t="n">
        <v>58.7</v>
      </c>
      <c r="D45" s="5" t="n">
        <v>5</v>
      </c>
      <c r="E45" s="5" t="n">
        <v>9</v>
      </c>
      <c r="F45" s="5" t="n">
        <v>4</v>
      </c>
      <c r="G45" s="4" t="inlineStr">
        <is>
          <t>7 A</t>
        </is>
      </c>
      <c r="H45" s="5" t="n">
        <v>57</v>
      </c>
      <c r="I45" s="5" t="n">
        <v>5</v>
      </c>
      <c r="J45" s="5" t="n">
        <v>58</v>
      </c>
      <c r="K45" s="5" t="n">
        <v>6</v>
      </c>
    </row>
    <row r="46">
      <c r="A46" s="4" t="inlineStr">
        <is>
          <t>A ğ u s t o s</t>
        </is>
      </c>
      <c r="B46" s="6" t="n">
        <v>56.1</v>
      </c>
      <c r="C46" s="5" t="n">
        <v>5</v>
      </c>
      <c r="D46" s="5" t="n">
        <v>7</v>
      </c>
      <c r="E46" s="5" t="n">
        <v>1</v>
      </c>
      <c r="F46" s="4" t="inlineStr">
        <is>
          <t>8 A</t>
        </is>
      </c>
      <c r="G46" s="5" t="n">
        <v>57</v>
      </c>
      <c r="H46" s="5" t="n">
        <v>3</v>
      </c>
      <c r="I46" s="5" t="n">
        <v>58</v>
      </c>
      <c r="J46" s="5" t="n">
        <v>3</v>
      </c>
    </row>
    <row r="48">
      <c r="A48" s="4" t="inlineStr">
        <is>
          <t>Y I L L I K</t>
        </is>
      </c>
      <c r="B48" s="5" t="n">
        <v>2019</v>
      </c>
      <c r="C48" s="5" t="n">
        <v>2020</v>
      </c>
      <c r="D48" s="5" t="n">
        <v>2</v>
      </c>
      <c r="E48" s="5" t="n">
        <v>2</v>
      </c>
      <c r="F48" s="5" t="n">
        <v>1</v>
      </c>
      <c r="G48" s="5" t="n">
        <v>2</v>
      </c>
      <c r="H48" s="5" t="n">
        <v>2</v>
      </c>
      <c r="I48" s="5" t="n">
        <v>2</v>
      </c>
      <c r="J48" s="5" t="n">
        <v>2</v>
      </c>
      <c r="K48" s="5" t="n">
        <v>2</v>
      </c>
      <c r="L48" s="5" t="n">
        <v>3</v>
      </c>
      <c r="M48" s="5" t="n">
        <v>202</v>
      </c>
      <c r="N48" s="5" t="n">
        <v>4</v>
      </c>
    </row>
    <row r="49">
      <c r="A49" s="4" t="inlineStr">
        <is>
          <t>C O 2 g</t>
        </is>
      </c>
      <c r="B49" s="4" t="inlineStr">
        <is>
          <t>r a m / R</t>
        </is>
      </c>
      <c r="C49" s="4" t="inlineStr">
        <is>
          <t>P K</t>
        </is>
      </c>
      <c r="D49" s="6" t="n">
        <v>65.09999999999999</v>
      </c>
      <c r="E49" s="6" t="n">
        <v>71.3</v>
      </c>
      <c r="F49" s="5" t="n">
        <v>7</v>
      </c>
      <c r="G49" s="5" t="n">
        <v>1</v>
      </c>
      <c r="H49" s="5" t="n">
        <v>0</v>
      </c>
      <c r="I49" s="5" t="n">
        <v>62</v>
      </c>
      <c r="J49" s="5" t="n">
        <v>1</v>
      </c>
      <c r="K49" s="5" t="n">
        <v>61</v>
      </c>
      <c r="L49" s="5" t="n">
        <v>3</v>
      </c>
      <c r="M49" s="5" t="n">
        <v>58</v>
      </c>
      <c r="N49" s="5" t="n">
        <v>3</v>
      </c>
    </row>
    <row r="50">
      <c r="A50" s="4" t="inlineStr">
        <is>
          <t>Karbon E</t>
        </is>
      </c>
      <c r="B50" s="4" t="inlineStr">
        <is>
          <t>misyon</t>
        </is>
      </c>
      <c r="C50" s="4" t="inlineStr">
        <is>
          <t>u İstatistikleri</t>
        </is>
      </c>
      <c r="D50" s="4" t="inlineStr">
        <is>
          <t>nde (</t>
        </is>
      </c>
      <c r="E50" s="4" t="inlineStr">
        <is>
          <t>grCO</t>
        </is>
      </c>
      <c r="F50" s="4" t="inlineStr">
        <is>
          <t>2/R</t>
        </is>
      </c>
      <c r="G50" s="4" t="inlineStr">
        <is>
          <t>PK</t>
        </is>
      </c>
      <c r="H50" s="4" t="inlineStr">
        <is>
          <t>) jet yakıtı emisy</t>
        </is>
      </c>
      <c r="I50" s="4" t="inlineStr">
        <is>
          <t>on katsayısı ba</t>
        </is>
      </c>
      <c r="J50" s="4" t="inlineStr">
        <is>
          <t>z yıl ve tüm raporlana</t>
        </is>
      </c>
      <c r="K50" s="4" t="inlineStr">
        <is>
          <t>n</t>
        </is>
      </c>
      <c r="L50" s="4" t="inlineStr">
        <is>
          <t>dön</t>
        </is>
      </c>
      <c r="M50" s="4" t="inlineStr">
        <is>
          <t>emler için</t>
        </is>
      </c>
      <c r="N50" s="6" t="n">
        <v>3.16</v>
      </c>
      <c r="O50" s="4" t="inlineStr">
        <is>
          <t>olar</t>
        </is>
      </c>
      <c r="P50" s="4" t="inlineStr">
        <is>
          <t>ak kullanılmış</t>
        </is>
      </c>
      <c r="Q50" s="4" t="inlineStr">
        <is>
          <t>tır</t>
        </is>
      </c>
      <c r="R50" s="4" t="inlineStr">
        <is>
          <t>.</t>
        </is>
      </c>
    </row>
    <row r="52">
      <c r="A52" s="4" t="inlineStr">
        <is>
          <t>Arz edil</t>
        </is>
      </c>
      <c r="B52" s="4" t="inlineStr">
        <is>
          <t>en Kolt</t>
        </is>
      </c>
      <c r="C52" s="4" t="inlineStr">
        <is>
          <t>uk Kilometr</t>
        </is>
      </c>
      <c r="D52" s="4" t="inlineStr">
        <is>
          <t>e (A</t>
        </is>
      </c>
      <c r="E52" s="4" t="inlineStr">
        <is>
          <t>SK) =</t>
        </is>
      </c>
      <c r="F52" s="4" t="inlineStr">
        <is>
          <t>Uç</t>
        </is>
      </c>
      <c r="G52" s="4" t="inlineStr">
        <is>
          <t>uş</t>
        </is>
      </c>
      <c r="H52" s="4" t="inlineStr">
        <is>
          <t>a arz edilen k</t>
        </is>
      </c>
      <c r="I52" s="4" t="inlineStr">
        <is>
          <t>oltuk sayısı x</t>
        </is>
      </c>
      <c r="J52" s="4" t="inlineStr">
        <is>
          <t>Ortalama Uçuş M</t>
        </is>
      </c>
      <c r="K52" s="4" t="inlineStr">
        <is>
          <t>es</t>
        </is>
      </c>
      <c r="L52" s="4" t="inlineStr">
        <is>
          <t>afe</t>
        </is>
      </c>
      <c r="M52" s="4" t="inlineStr">
        <is>
          <t>si</t>
        </is>
      </c>
    </row>
    <row r="54">
      <c r="A54" s="4" t="inlineStr">
        <is>
          <t>Doluluk</t>
        </is>
      </c>
      <c r="B54" s="4" t="inlineStr">
        <is>
          <t>Oranı</t>
        </is>
      </c>
      <c r="C54" s="4">
        <f> Biletlenm</f>
        <v/>
      </c>
      <c r="D54" s="4" t="inlineStr">
        <is>
          <t>iş m</t>
        </is>
      </c>
      <c r="E54" s="4" t="inlineStr">
        <is>
          <t>isafir</t>
        </is>
      </c>
      <c r="F54" s="4" t="inlineStr">
        <is>
          <t>sa</t>
        </is>
      </c>
      <c r="G54" s="4" t="inlineStr">
        <is>
          <t>yıs</t>
        </is>
      </c>
      <c r="H54" s="4" t="inlineStr">
        <is>
          <t>ı / Toplam ko</t>
        </is>
      </c>
      <c r="I54" s="4" t="inlineStr">
        <is>
          <t>ltuk sayısı</t>
        </is>
      </c>
    </row>
    <row r="56">
      <c r="A56" s="4" t="inlineStr">
        <is>
          <t>RPK (Re</t>
        </is>
      </c>
      <c r="B56" s="4" t="inlineStr">
        <is>
          <t>venue</t>
        </is>
      </c>
      <c r="C56" s="4" t="inlineStr">
        <is>
          <t>Passenger</t>
        </is>
      </c>
      <c r="D56" s="4" t="inlineStr">
        <is>
          <t>Kilo</t>
        </is>
      </c>
      <c r="E56" s="4" t="inlineStr">
        <is>
          <t>meter</t>
        </is>
      </c>
      <c r="F56" s="4" t="inlineStr">
        <is>
          <t>): Ü</t>
        </is>
      </c>
      <c r="G56" s="4" t="inlineStr">
        <is>
          <t>cr</t>
        </is>
      </c>
      <c r="H56" s="4" t="inlineStr">
        <is>
          <t>etli Yolcu Kilo</t>
        </is>
      </c>
      <c r="I56" s="4" t="inlineStr">
        <is>
          <t>metre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81"/>
  <sheetViews>
    <sheetView workbookViewId="0">
      <selection activeCell="A1" sqref="A1"/>
    </sheetView>
  </sheetViews>
  <sheetFormatPr baseColWidth="8" defaultRowHeight="15"/>
  <cols>
    <col width="15" customWidth="1" min="1" max="1"/>
    <col width="13" customWidth="1" min="2" max="2"/>
    <col width="12" customWidth="1" min="3" max="3"/>
    <col width="12" customWidth="1" min="4" max="4"/>
    <col width="19" customWidth="1" min="5" max="5"/>
    <col width="20" customWidth="1" min="6" max="6"/>
    <col width="12" customWidth="1" min="7" max="7"/>
    <col width="19" customWidth="1" min="8" max="8"/>
    <col width="20" customWidth="1" min="9" max="9"/>
    <col width="14" customWidth="1" min="10" max="10"/>
    <col width="14" customWidth="1" min="11" max="11"/>
    <col width="15" customWidth="1" min="12" max="12"/>
    <col width="12" customWidth="1" min="13" max="13"/>
    <col width="12" customWidth="1" min="14" max="14"/>
    <col width="18" customWidth="1" min="15" max="15"/>
    <col width="12" customWidth="1" min="16" max="16"/>
    <col width="12" customWidth="1" min="17" max="17"/>
    <col width="15" customWidth="1" min="18" max="18"/>
    <col width="12" customWidth="1" min="19" max="19"/>
  </cols>
  <sheetData>
    <row r="1">
      <c r="A1" s="4" t="inlineStr">
        <is>
          <t>P E</t>
        </is>
      </c>
      <c r="B1" s="4" t="inlineStr">
        <is>
          <t>G A S U</t>
        </is>
      </c>
      <c r="C1" s="4" t="inlineStr">
        <is>
          <t>S H A V</t>
        </is>
      </c>
      <c r="D1" s="4" t="inlineStr">
        <is>
          <t>A</t>
        </is>
      </c>
      <c r="E1" s="4" t="inlineStr">
        <is>
          <t>T A</t>
        </is>
      </c>
      <c r="F1" s="4" t="inlineStr">
        <is>
          <t>Ş</t>
        </is>
      </c>
      <c r="G1" s="4" t="inlineStr">
        <is>
          <t>I M A</t>
        </is>
      </c>
      <c r="H1" s="4" t="inlineStr">
        <is>
          <t>C I L I Ğ I A . Ş</t>
        </is>
      </c>
      <c r="I1" s="4" t="inlineStr">
        <is>
          <t>.</t>
        </is>
      </c>
    </row>
    <row r="3">
      <c r="A3" s="4" t="inlineStr">
        <is>
          <t>E Y</t>
        </is>
      </c>
      <c r="B3" s="4" t="inlineStr">
        <is>
          <t>L Ü L 2</t>
        </is>
      </c>
      <c r="C3" s="4" t="inlineStr">
        <is>
          <t>0 2 5 T R</t>
        </is>
      </c>
      <c r="D3" s="4" t="inlineStr">
        <is>
          <t>A</t>
        </is>
      </c>
      <c r="E3" s="4" t="inlineStr">
        <is>
          <t>F İ K</t>
        </is>
      </c>
      <c r="F3" s="4" t="inlineStr">
        <is>
          <t>S</t>
        </is>
      </c>
      <c r="G3" s="4" t="inlineStr">
        <is>
          <t>O N</t>
        </is>
      </c>
      <c r="H3" s="4" t="inlineStr">
        <is>
          <t>U Ç L A R I</t>
        </is>
      </c>
    </row>
    <row r="5">
      <c r="A5" s="4" t="inlineStr">
        <is>
          <t>A Y L</t>
        </is>
      </c>
      <c r="B5" s="4" t="inlineStr">
        <is>
          <t>I K</t>
        </is>
      </c>
      <c r="C5" s="4" t="inlineStr">
        <is>
          <t>K Ü</t>
        </is>
      </c>
      <c r="D5" s="4" t="inlineStr">
        <is>
          <t>M</t>
        </is>
      </c>
      <c r="E5" s="4" t="inlineStr">
        <is>
          <t>Ü</t>
        </is>
      </c>
      <c r="F5" s="4" t="inlineStr">
        <is>
          <t>L A T İ F</t>
        </is>
      </c>
    </row>
    <row r="7">
      <c r="A7" s="4" t="inlineStr">
        <is>
          <t>E y l ü l</t>
        </is>
      </c>
      <c r="B7" s="4" t="inlineStr">
        <is>
          <t>E y l</t>
        </is>
      </c>
      <c r="C7" s="4" t="inlineStr">
        <is>
          <t>ü l</t>
        </is>
      </c>
      <c r="D7" s="4" t="inlineStr">
        <is>
          <t>' 2</t>
        </is>
      </c>
      <c r="E7" s="4" t="inlineStr">
        <is>
          <t>5 /</t>
        </is>
      </c>
      <c r="F7" s="4" t="inlineStr">
        <is>
          <t>' 2 4 O</t>
        </is>
      </c>
      <c r="G7" s="4" t="inlineStr">
        <is>
          <t>c</t>
        </is>
      </c>
      <c r="H7" s="4" t="inlineStr">
        <is>
          <t>a . -</t>
        </is>
      </c>
      <c r="I7" s="4" t="inlineStr">
        <is>
          <t>E y l . O</t>
        </is>
      </c>
      <c r="J7" s="4" t="inlineStr">
        <is>
          <t>c</t>
        </is>
      </c>
      <c r="K7" s="4" t="inlineStr">
        <is>
          <t>a . -</t>
        </is>
      </c>
      <c r="L7" s="4" t="inlineStr">
        <is>
          <t>E y l . ' 2</t>
        </is>
      </c>
      <c r="M7" s="4" t="inlineStr">
        <is>
          <t>5 /</t>
        </is>
      </c>
      <c r="N7" s="4" t="inlineStr">
        <is>
          <t>' 2</t>
        </is>
      </c>
    </row>
    <row r="9">
      <c r="A9" s="4" t="inlineStr">
        <is>
          <t>2 0 2 5</t>
        </is>
      </c>
      <c r="B9" s="5" t="n">
        <v>20</v>
      </c>
      <c r="C9" s="5" t="n">
        <v>24</v>
      </c>
      <c r="D9" s="4" t="inlineStr">
        <is>
          <t>%</t>
        </is>
      </c>
      <c r="E9" s="4" t="inlineStr">
        <is>
          <t>D</t>
        </is>
      </c>
      <c r="F9" s="4" t="inlineStr">
        <is>
          <t>e ğ .</t>
        </is>
      </c>
      <c r="G9" s="5" t="n">
        <v>2</v>
      </c>
      <c r="H9" s="5" t="n">
        <v>2</v>
      </c>
      <c r="I9" s="5" t="n">
        <v>5</v>
      </c>
      <c r="J9" s="5" t="n">
        <v>2</v>
      </c>
      <c r="K9" s="5" t="n">
        <v>2</v>
      </c>
      <c r="L9" s="7" t="n">
        <v>0.04</v>
      </c>
      <c r="M9" s="4" t="inlineStr">
        <is>
          <t>D</t>
        </is>
      </c>
      <c r="N9" s="4" t="inlineStr">
        <is>
          <t>e ğ</t>
        </is>
      </c>
    </row>
    <row r="11">
      <c r="A11" s="4" t="inlineStr">
        <is>
          <t>M</t>
        </is>
      </c>
      <c r="B11" s="4" t="inlineStr">
        <is>
          <t>i s</t>
        </is>
      </c>
      <c r="C11" s="4" t="inlineStr">
        <is>
          <t>a f</t>
        </is>
      </c>
      <c r="D11" s="4" t="inlineStr">
        <is>
          <t>i r s</t>
        </is>
      </c>
      <c r="E11" s="4" t="inlineStr">
        <is>
          <t>a y ı s ı , m n</t>
        </is>
      </c>
      <c r="F11" s="5" t="n">
        <v>4</v>
      </c>
      <c r="G11" s="6" t="n">
        <v>3.3</v>
      </c>
      <c r="H11" s="5" t="n">
        <v>3</v>
      </c>
      <c r="I11" s="5" t="n">
        <v>2</v>
      </c>
      <c r="J11" s="5" t="n">
        <v>0</v>
      </c>
      <c r="K11" s="4" t="inlineStr">
        <is>
          <t>%</t>
        </is>
      </c>
      <c r="L11" s="5" t="n">
        <v>3</v>
      </c>
      <c r="M11" s="6" t="n">
        <v>1.9</v>
      </c>
      <c r="N11" s="5" t="n">
        <v>4</v>
      </c>
      <c r="O11" s="5" t="n">
        <v>2</v>
      </c>
      <c r="P11" s="5" t="n">
        <v>7</v>
      </c>
      <c r="Q11" s="5" t="n">
        <v>97</v>
      </c>
      <c r="R11" s="5" t="n">
        <v>14</v>
      </c>
      <c r="S11" s="4" t="inlineStr">
        <is>
          <t>%</t>
        </is>
      </c>
    </row>
    <row r="13">
      <c r="A13" s="4" t="inlineStr">
        <is>
          <t>K</t>
        </is>
      </c>
      <c r="B13" s="4" t="inlineStr">
        <is>
          <t>o n</t>
        </is>
      </c>
      <c r="C13" s="4" t="inlineStr">
        <is>
          <t>m</t>
        </is>
      </c>
      <c r="D13" s="4" t="inlineStr">
        <is>
          <t>a</t>
        </is>
      </c>
      <c r="E13" s="5" t="n">
        <v>21299</v>
      </c>
      <c r="F13" s="5" t="n">
        <v>18</v>
      </c>
      <c r="G13" s="5" t="n">
        <v>82</v>
      </c>
      <c r="H13" s="5" t="n">
        <v>1</v>
      </c>
      <c r="I13" s="5" t="n">
        <v>8</v>
      </c>
      <c r="J13" s="7" t="n">
        <v>0.01</v>
      </c>
      <c r="K13" s="5" t="n">
        <v>7</v>
      </c>
      <c r="L13" s="6" t="n">
        <v>3.5</v>
      </c>
      <c r="M13" s="5" t="n">
        <v>611</v>
      </c>
      <c r="N13" s="5" t="n">
        <v>5</v>
      </c>
      <c r="O13" s="5" t="n">
        <v>3</v>
      </c>
      <c r="P13" s="5" t="n">
        <v>693</v>
      </c>
      <c r="Q13" s="5" t="n">
        <v>13</v>
      </c>
      <c r="R13" s="4" t="inlineStr">
        <is>
          <t>%</t>
        </is>
      </c>
    </row>
    <row r="15">
      <c r="A15" s="4" t="inlineStr">
        <is>
          <t>K</t>
        </is>
      </c>
      <c r="B15" s="4" t="inlineStr">
        <is>
          <t>o lt</t>
        </is>
      </c>
      <c r="C15" s="4" t="inlineStr">
        <is>
          <t>u</t>
        </is>
      </c>
      <c r="D15" s="4" t="inlineStr">
        <is>
          <t>k s a</t>
        </is>
      </c>
      <c r="E15" s="4" t="inlineStr">
        <is>
          <t>y ı s ı , m n</t>
        </is>
      </c>
      <c r="F15" s="6" t="n">
        <v>4.51</v>
      </c>
      <c r="G15" s="6" t="n">
        <v>3.7</v>
      </c>
      <c r="H15" s="5" t="n">
        <v>8</v>
      </c>
      <c r="I15" s="5" t="n">
        <v>2</v>
      </c>
      <c r="J15" s="5" t="n">
        <v>0</v>
      </c>
      <c r="K15" s="4" t="inlineStr">
        <is>
          <t>%</t>
        </is>
      </c>
      <c r="L15" s="5" t="n">
        <v>3</v>
      </c>
      <c r="M15" s="6" t="n">
        <v>6.5</v>
      </c>
      <c r="N15" s="5" t="n">
        <v>6</v>
      </c>
      <c r="O15" s="5" t="n">
        <v>3</v>
      </c>
      <c r="P15" s="5" t="n">
        <v>1</v>
      </c>
      <c r="Q15" s="5" t="n">
        <v>79</v>
      </c>
      <c r="R15" s="5" t="n">
        <v>15</v>
      </c>
      <c r="S15" s="4" t="inlineStr">
        <is>
          <t>%</t>
        </is>
      </c>
    </row>
    <row r="17">
      <c r="A17" s="4" t="inlineStr">
        <is>
          <t>T o</t>
        </is>
      </c>
      <c r="B17" s="4" t="inlineStr">
        <is>
          <t>p l a m</t>
        </is>
      </c>
    </row>
    <row r="18">
      <c r="A18" s="4" t="inlineStr">
        <is>
          <t>D</t>
        </is>
      </c>
      <c r="B18" s="4" t="inlineStr">
        <is>
          <t>o l</t>
        </is>
      </c>
      <c r="C18" s="4" t="inlineStr">
        <is>
          <t>u l</t>
        </is>
      </c>
      <c r="D18" s="4" t="inlineStr">
        <is>
          <t>u k</t>
        </is>
      </c>
      <c r="E18" s="4" t="inlineStr">
        <is>
          <t>O r a n ı</t>
        </is>
      </c>
      <c r="F18" s="7" t="n">
        <v>0.887</v>
      </c>
      <c r="G18" s="5" t="n">
        <v>88</v>
      </c>
      <c r="H18" s="7" t="n">
        <v>0.01</v>
      </c>
      <c r="I18" s="5" t="n">
        <v>0</v>
      </c>
      <c r="J18" s="6" t="n">
        <v>0.6</v>
      </c>
      <c r="K18" s="4" t="inlineStr">
        <is>
          <t>p</t>
        </is>
      </c>
      <c r="L18" s="5" t="n">
        <v>8</v>
      </c>
      <c r="M18" s="6" t="n">
        <v>7.4</v>
      </c>
      <c r="N18" s="4" t="inlineStr">
        <is>
          <t>%</t>
        </is>
      </c>
      <c r="O18" s="5" t="n">
        <v>8</v>
      </c>
      <c r="P18" s="5" t="n">
        <v>8</v>
      </c>
      <c r="Q18" s="4" t="inlineStr">
        <is>
          <t>0 % -</t>
        </is>
      </c>
      <c r="R18" s="5" t="n">
        <v>0</v>
      </c>
      <c r="S18" s="8" t="n">
        <v>6</v>
      </c>
    </row>
    <row r="20">
      <c r="A20" s="4" t="inlineStr">
        <is>
          <t>A</t>
        </is>
      </c>
      <c r="B20" s="4" t="inlineStr">
        <is>
          <t>S</t>
        </is>
      </c>
      <c r="C20" s="4" t="inlineStr">
        <is>
          <t>K</t>
        </is>
      </c>
      <c r="D20" s="4" t="inlineStr">
        <is>
          <t>( m ln</t>
        </is>
      </c>
      <c r="E20" s="4" t="inlineStr">
        <is>
          <t>k m )</t>
        </is>
      </c>
      <c r="F20" s="5" t="n">
        <v>7289</v>
      </c>
      <c r="G20" s="5" t="n">
        <v>6</v>
      </c>
      <c r="H20" s="5" t="n">
        <v>48</v>
      </c>
      <c r="I20" s="5" t="n">
        <v>2</v>
      </c>
      <c r="J20" s="5" t="n">
        <v>1</v>
      </c>
      <c r="K20" s="4" t="inlineStr">
        <is>
          <t>%</t>
        </is>
      </c>
      <c r="L20" s="5" t="n">
        <v>5</v>
      </c>
      <c r="M20" s="6" t="n">
        <v>8.1</v>
      </c>
      <c r="N20" s="5" t="n">
        <v>45</v>
      </c>
      <c r="O20" s="5" t="n">
        <v>5</v>
      </c>
      <c r="P20" s="5" t="n">
        <v>0</v>
      </c>
      <c r="Q20" s="5" t="n">
        <v>42</v>
      </c>
      <c r="R20" s="5" t="n">
        <v>16</v>
      </c>
      <c r="S20" s="4" t="inlineStr">
        <is>
          <t>%</t>
        </is>
      </c>
    </row>
    <row r="22">
      <c r="A22" s="4" t="inlineStr">
        <is>
          <t>K</t>
        </is>
      </c>
      <c r="B22" s="4" t="inlineStr">
        <is>
          <t>o n</t>
        </is>
      </c>
      <c r="C22" s="4" t="inlineStr">
        <is>
          <t>m</t>
        </is>
      </c>
      <c r="D22" s="4" t="inlineStr">
        <is>
          <t>a b</t>
        </is>
      </c>
      <c r="E22" s="4" t="inlineStr">
        <is>
          <t>a ş ı n a M i s a</t>
        </is>
      </c>
      <c r="F22" s="4" t="inlineStr">
        <is>
          <t>f i r</t>
        </is>
      </c>
      <c r="G22" s="5" t="n">
        <v>188</v>
      </c>
      <c r="H22" s="5" t="n">
        <v>18</v>
      </c>
      <c r="I22" s="5" t="n">
        <v>4</v>
      </c>
      <c r="J22" s="7" t="n">
        <v>0.02</v>
      </c>
      <c r="K22" s="5" t="n">
        <v>18</v>
      </c>
      <c r="L22" s="5" t="n">
        <v>4</v>
      </c>
      <c r="M22" s="5" t="n">
        <v>18</v>
      </c>
      <c r="N22" s="5" t="n">
        <v>2</v>
      </c>
      <c r="O22" s="5" t="n">
        <v>1</v>
      </c>
      <c r="P22" s="4" t="inlineStr">
        <is>
          <t>%</t>
        </is>
      </c>
    </row>
    <row r="24">
      <c r="A24" s="4" t="inlineStr">
        <is>
          <t>M</t>
        </is>
      </c>
      <c r="B24" s="4" t="inlineStr">
        <is>
          <t>i s</t>
        </is>
      </c>
      <c r="C24" s="4" t="inlineStr">
        <is>
          <t>a f</t>
        </is>
      </c>
      <c r="D24" s="4" t="inlineStr">
        <is>
          <t>i r s</t>
        </is>
      </c>
      <c r="E24" s="4" t="inlineStr">
        <is>
          <t>a y ı s ı , m n</t>
        </is>
      </c>
      <c r="F24" s="6" t="n">
        <v>1.39</v>
      </c>
      <c r="G24" s="6" t="n">
        <v>1.1</v>
      </c>
      <c r="H24" s="5" t="n">
        <v>7</v>
      </c>
      <c r="I24" s="5" t="n">
        <v>1</v>
      </c>
      <c r="J24" s="5" t="n">
        <v>9</v>
      </c>
      <c r="K24" s="4" t="inlineStr">
        <is>
          <t>%</t>
        </is>
      </c>
      <c r="L24" s="5" t="n">
        <v>1</v>
      </c>
      <c r="M24" s="6" t="n">
        <v>1.4</v>
      </c>
      <c r="N24" s="5" t="n">
        <v>6</v>
      </c>
      <c r="O24" s="5" t="n">
        <v>1</v>
      </c>
      <c r="P24" s="5" t="n">
        <v>0</v>
      </c>
      <c r="Q24" s="5" t="n">
        <v>47</v>
      </c>
      <c r="R24" s="5" t="n">
        <v>9</v>
      </c>
      <c r="S24" s="4" t="inlineStr">
        <is>
          <t>%</t>
        </is>
      </c>
    </row>
    <row r="26">
      <c r="A26" s="4" t="inlineStr">
        <is>
          <t>K</t>
        </is>
      </c>
      <c r="B26" s="4" t="inlineStr">
        <is>
          <t>o n</t>
        </is>
      </c>
      <c r="C26" s="4" t="inlineStr">
        <is>
          <t>m</t>
        </is>
      </c>
      <c r="D26" s="4" t="inlineStr">
        <is>
          <t>a</t>
        </is>
      </c>
      <c r="E26" s="5" t="n">
        <v>6921</v>
      </c>
      <c r="F26" s="6" t="n">
        <v>5.9</v>
      </c>
      <c r="G26" s="5" t="n">
        <v>79</v>
      </c>
      <c r="H26" s="5" t="n">
        <v>1</v>
      </c>
      <c r="I26" s="5" t="n">
        <v>6</v>
      </c>
      <c r="J26" s="4" t="inlineStr">
        <is>
          <t>%</t>
        </is>
      </c>
      <c r="K26" s="5" t="n">
        <v>5</v>
      </c>
      <c r="L26" s="6" t="n">
        <v>8.300000000000001</v>
      </c>
      <c r="M26" s="5" t="n">
        <v>39</v>
      </c>
      <c r="N26" s="5" t="n">
        <v>5</v>
      </c>
      <c r="O26" s="6" t="n">
        <v>5.2</v>
      </c>
      <c r="P26" s="5" t="n">
        <v>47</v>
      </c>
      <c r="Q26" s="5" t="n">
        <v>6</v>
      </c>
      <c r="R26" s="4" t="inlineStr">
        <is>
          <t>%</t>
        </is>
      </c>
    </row>
    <row r="28">
      <c r="A28" s="4" t="inlineStr">
        <is>
          <t>K</t>
        </is>
      </c>
      <c r="B28" s="4" t="inlineStr">
        <is>
          <t>o lt</t>
        </is>
      </c>
      <c r="C28" s="4" t="inlineStr">
        <is>
          <t>u</t>
        </is>
      </c>
      <c r="D28" s="4" t="inlineStr">
        <is>
          <t>k s a</t>
        </is>
      </c>
      <c r="E28" s="4" t="inlineStr">
        <is>
          <t>y ı s ı , m n</t>
        </is>
      </c>
      <c r="F28" s="6" t="n">
        <v>1.51</v>
      </c>
      <c r="G28" s="6" t="n">
        <v>1.2</v>
      </c>
      <c r="H28" s="5" t="n">
        <v>6</v>
      </c>
      <c r="I28" s="5" t="n">
        <v>1</v>
      </c>
      <c r="J28" s="5" t="n">
        <v>9</v>
      </c>
      <c r="K28" s="4" t="inlineStr">
        <is>
          <t>%</t>
        </is>
      </c>
      <c r="L28" s="5" t="n">
        <v>1</v>
      </c>
      <c r="M28" s="6" t="n">
        <v>2.4</v>
      </c>
      <c r="N28" s="5" t="n">
        <v>9</v>
      </c>
      <c r="O28" s="5" t="n">
        <v>1</v>
      </c>
      <c r="P28" s="5" t="n">
        <v>1</v>
      </c>
      <c r="Q28" s="5" t="n">
        <v>39</v>
      </c>
      <c r="R28" s="5" t="n">
        <v>10</v>
      </c>
      <c r="S28" s="4" t="inlineStr">
        <is>
          <t>%</t>
        </is>
      </c>
    </row>
    <row r="30">
      <c r="A30" s="4" t="inlineStr">
        <is>
          <t>İ ç</t>
        </is>
      </c>
      <c r="B30" s="4" t="inlineStr">
        <is>
          <t>H a t l a</t>
        </is>
      </c>
      <c r="C30" s="4" t="inlineStr">
        <is>
          <t>r</t>
        </is>
      </c>
    </row>
    <row r="31">
      <c r="A31" s="4" t="inlineStr">
        <is>
          <t>D</t>
        </is>
      </c>
      <c r="B31" s="4" t="inlineStr">
        <is>
          <t>o l</t>
        </is>
      </c>
      <c r="C31" s="4" t="inlineStr">
        <is>
          <t>u l</t>
        </is>
      </c>
      <c r="D31" s="4" t="inlineStr">
        <is>
          <t>u k</t>
        </is>
      </c>
      <c r="E31" s="4" t="inlineStr">
        <is>
          <t>O r a n ı</t>
        </is>
      </c>
      <c r="F31" s="7" t="n">
        <v>0.9259999999999999</v>
      </c>
      <c r="G31" s="5" t="n">
        <v>92</v>
      </c>
      <c r="H31" s="7" t="n">
        <v>0.09</v>
      </c>
      <c r="I31" s="4" t="inlineStr">
        <is>
          <t>-</t>
        </is>
      </c>
      <c r="J31" s="6" t="n">
        <v>0.3</v>
      </c>
      <c r="K31" s="4" t="inlineStr">
        <is>
          <t>p</t>
        </is>
      </c>
      <c r="L31" s="5" t="n">
        <v>9</v>
      </c>
      <c r="M31" s="6" t="n">
        <v>1.7</v>
      </c>
      <c r="N31" s="4" t="inlineStr">
        <is>
          <t>%</t>
        </is>
      </c>
      <c r="O31" s="5" t="n">
        <v>9</v>
      </c>
      <c r="P31" s="5" t="n">
        <v>1</v>
      </c>
      <c r="Q31" s="4" t="inlineStr">
        <is>
          <t>9 % -</t>
        </is>
      </c>
      <c r="R31" s="5" t="n">
        <v>0</v>
      </c>
      <c r="S31" s="8" t="n">
        <v>2</v>
      </c>
    </row>
    <row r="33">
      <c r="A33" s="4" t="inlineStr">
        <is>
          <t>A</t>
        </is>
      </c>
      <c r="B33" s="4" t="inlineStr">
        <is>
          <t>S</t>
        </is>
      </c>
      <c r="C33" s="4" t="inlineStr">
        <is>
          <t>K</t>
        </is>
      </c>
      <c r="D33" s="4" t="inlineStr">
        <is>
          <t>( m ln</t>
        </is>
      </c>
      <c r="E33" s="4" t="inlineStr">
        <is>
          <t>k m )</t>
        </is>
      </c>
      <c r="F33" s="5" t="n">
        <v>1157</v>
      </c>
      <c r="G33" s="5" t="n">
        <v>92</v>
      </c>
      <c r="H33" s="5" t="n">
        <v>3</v>
      </c>
      <c r="I33" s="5" t="n">
        <v>2</v>
      </c>
      <c r="J33" s="5" t="n">
        <v>5</v>
      </c>
      <c r="K33" s="4" t="inlineStr">
        <is>
          <t>%</t>
        </is>
      </c>
      <c r="L33" s="5" t="n">
        <v>9</v>
      </c>
      <c r="M33" s="6" t="n">
        <v>0.48</v>
      </c>
      <c r="N33" s="5" t="n">
        <v>6</v>
      </c>
      <c r="O33" s="5" t="n">
        <v>8</v>
      </c>
      <c r="P33" s="6" t="n">
        <v>0.4</v>
      </c>
      <c r="Q33" s="5" t="n">
        <v>61</v>
      </c>
      <c r="R33" s="5" t="n">
        <v>12</v>
      </c>
      <c r="S33" s="4" t="inlineStr">
        <is>
          <t>%</t>
        </is>
      </c>
    </row>
    <row r="35">
      <c r="A35" s="4" t="inlineStr">
        <is>
          <t>K</t>
        </is>
      </c>
      <c r="B35" s="4" t="inlineStr">
        <is>
          <t>o n</t>
        </is>
      </c>
      <c r="C35" s="4" t="inlineStr">
        <is>
          <t>m</t>
        </is>
      </c>
      <c r="D35" s="4" t="inlineStr">
        <is>
          <t>a b</t>
        </is>
      </c>
      <c r="E35" s="4" t="inlineStr">
        <is>
          <t>a ş ı n a M i s a</t>
        </is>
      </c>
      <c r="F35" s="4" t="inlineStr">
        <is>
          <t>f i r</t>
        </is>
      </c>
      <c r="G35" s="5" t="n">
        <v>201</v>
      </c>
      <c r="H35" s="5" t="n">
        <v>19</v>
      </c>
      <c r="I35" s="5" t="n">
        <v>6</v>
      </c>
      <c r="J35" s="7" t="n">
        <v>0.03</v>
      </c>
      <c r="K35" s="5" t="n">
        <v>19</v>
      </c>
      <c r="L35" s="5" t="n">
        <v>6</v>
      </c>
      <c r="M35" s="5" t="n">
        <v>18</v>
      </c>
      <c r="N35" s="5" t="n">
        <v>9</v>
      </c>
      <c r="O35" s="5" t="n">
        <v>4</v>
      </c>
      <c r="P35" s="4" t="inlineStr">
        <is>
          <t>%</t>
        </is>
      </c>
    </row>
    <row r="37">
      <c r="A37" s="4" t="inlineStr">
        <is>
          <t>M</t>
        </is>
      </c>
      <c r="B37" s="4" t="inlineStr">
        <is>
          <t>i s</t>
        </is>
      </c>
      <c r="C37" s="4" t="inlineStr">
        <is>
          <t>a f</t>
        </is>
      </c>
      <c r="D37" s="4" t="inlineStr">
        <is>
          <t>i r s</t>
        </is>
      </c>
      <c r="E37" s="4" t="inlineStr">
        <is>
          <t>a y ı s ı , m n</t>
        </is>
      </c>
      <c r="F37" s="6" t="n">
        <v>2.61</v>
      </c>
      <c r="G37" s="6" t="n">
        <v>2.1</v>
      </c>
      <c r="H37" s="5" t="n">
        <v>6</v>
      </c>
      <c r="I37" s="5" t="n">
        <v>2</v>
      </c>
      <c r="J37" s="5" t="n">
        <v>1</v>
      </c>
      <c r="K37" s="4" t="inlineStr">
        <is>
          <t>%</t>
        </is>
      </c>
      <c r="L37" s="5" t="n">
        <v>2</v>
      </c>
      <c r="M37" s="6" t="n">
        <v>0.4</v>
      </c>
      <c r="N37" s="5" t="n">
        <v>8</v>
      </c>
      <c r="O37" s="5" t="n">
        <v>1</v>
      </c>
      <c r="P37" s="5" t="n">
        <v>7</v>
      </c>
      <c r="Q37" s="5" t="n">
        <v>50</v>
      </c>
      <c r="R37" s="5" t="n">
        <v>17</v>
      </c>
      <c r="S37" s="4" t="inlineStr">
        <is>
          <t>%</t>
        </is>
      </c>
    </row>
    <row r="39">
      <c r="A39" s="4" t="inlineStr">
        <is>
          <t>K</t>
        </is>
      </c>
      <c r="B39" s="4" t="inlineStr">
        <is>
          <t>o n</t>
        </is>
      </c>
      <c r="C39" s="4" t="inlineStr">
        <is>
          <t>m</t>
        </is>
      </c>
      <c r="D39" s="4" t="inlineStr">
        <is>
          <t>a</t>
        </is>
      </c>
      <c r="E39" s="5" t="n">
        <v>14378</v>
      </c>
      <c r="F39" s="6" t="n">
        <v>12.1</v>
      </c>
      <c r="G39" s="5" t="n">
        <v>3</v>
      </c>
      <c r="H39" s="5" t="n">
        <v>1</v>
      </c>
      <c r="I39" s="5" t="n">
        <v>9</v>
      </c>
      <c r="J39" s="7" t="n">
        <v>0.01</v>
      </c>
      <c r="K39" s="5" t="n">
        <v>1</v>
      </c>
      <c r="L39" s="6" t="n">
        <v>5.2</v>
      </c>
      <c r="M39" s="5" t="n">
        <v>22</v>
      </c>
      <c r="N39" s="5" t="n">
        <v>9</v>
      </c>
      <c r="O39" s="6" t="n">
        <v>8.4</v>
      </c>
      <c r="P39" s="5" t="n">
        <v>46</v>
      </c>
      <c r="Q39" s="5" t="n">
        <v>17</v>
      </c>
      <c r="R39" s="4" t="inlineStr">
        <is>
          <t>%</t>
        </is>
      </c>
    </row>
    <row r="41">
      <c r="A41" s="4" t="inlineStr">
        <is>
          <t>K</t>
        </is>
      </c>
      <c r="B41" s="4" t="inlineStr">
        <is>
          <t>o lt</t>
        </is>
      </c>
      <c r="C41" s="4" t="inlineStr">
        <is>
          <t>u</t>
        </is>
      </c>
      <c r="D41" s="4" t="inlineStr">
        <is>
          <t>k s a</t>
        </is>
      </c>
      <c r="E41" s="4" t="inlineStr">
        <is>
          <t>y ı s ı , m n</t>
        </is>
      </c>
      <c r="F41" s="6" t="n">
        <v>3.01</v>
      </c>
      <c r="G41" s="6" t="n">
        <v>2.5</v>
      </c>
      <c r="H41" s="5" t="n">
        <v>2</v>
      </c>
      <c r="I41" s="5" t="n">
        <v>2</v>
      </c>
      <c r="J41" s="5" t="n">
        <v>0</v>
      </c>
      <c r="K41" s="4" t="inlineStr">
        <is>
          <t>%</t>
        </is>
      </c>
      <c r="L41" s="5" t="n">
        <v>2</v>
      </c>
      <c r="M41" s="5" t="n">
        <v>4</v>
      </c>
      <c r="N41" s="5" t="n">
        <v>6</v>
      </c>
      <c r="O41" s="5" t="n">
        <v>2</v>
      </c>
      <c r="P41" s="5" t="n">
        <v>0</v>
      </c>
      <c r="Q41" s="5" t="n">
        <v>40</v>
      </c>
      <c r="R41" s="5" t="n">
        <v>18</v>
      </c>
      <c r="S41" s="4" t="inlineStr">
        <is>
          <t>%</t>
        </is>
      </c>
    </row>
    <row r="43">
      <c r="A43" s="4" t="inlineStr">
        <is>
          <t>D ı</t>
        </is>
      </c>
      <c r="B43" s="4" t="inlineStr">
        <is>
          <t>ş H a t l</t>
        </is>
      </c>
      <c r="C43" s="4" t="inlineStr">
        <is>
          <t>a r *</t>
        </is>
      </c>
    </row>
    <row r="44">
      <c r="A44" s="4" t="inlineStr">
        <is>
          <t>D</t>
        </is>
      </c>
      <c r="B44" s="4" t="inlineStr">
        <is>
          <t>o l</t>
        </is>
      </c>
      <c r="C44" s="4" t="inlineStr">
        <is>
          <t>u l</t>
        </is>
      </c>
      <c r="D44" s="4" t="inlineStr">
        <is>
          <t>u k</t>
        </is>
      </c>
      <c r="E44" s="4" t="inlineStr">
        <is>
          <t>O r a n ı</t>
        </is>
      </c>
      <c r="F44" s="7" t="n">
        <v>0.867</v>
      </c>
      <c r="G44" s="5" t="n">
        <v>85</v>
      </c>
      <c r="H44" s="7" t="n">
        <v>0.07000000000000001</v>
      </c>
      <c r="I44" s="5" t="n">
        <v>1</v>
      </c>
      <c r="J44" s="6" t="n">
        <v>0.1</v>
      </c>
      <c r="K44" s="4" t="inlineStr">
        <is>
          <t>p</t>
        </is>
      </c>
      <c r="L44" s="5" t="n">
        <v>8</v>
      </c>
      <c r="M44" s="6" t="n">
        <v>5.1</v>
      </c>
      <c r="N44" s="4" t="inlineStr">
        <is>
          <t>%</t>
        </is>
      </c>
      <c r="O44" s="5" t="n">
        <v>8</v>
      </c>
      <c r="P44" s="5" t="n">
        <v>5</v>
      </c>
      <c r="Q44" s="4" t="inlineStr">
        <is>
          <t>8 % -</t>
        </is>
      </c>
      <c r="R44" s="5" t="n">
        <v>0</v>
      </c>
      <c r="S44" s="8" t="n">
        <v>7</v>
      </c>
    </row>
    <row r="46">
      <c r="A46" s="4" t="inlineStr">
        <is>
          <t>A</t>
        </is>
      </c>
      <c r="B46" s="4" t="inlineStr">
        <is>
          <t>S</t>
        </is>
      </c>
      <c r="C46" s="4" t="inlineStr">
        <is>
          <t>K</t>
        </is>
      </c>
      <c r="D46" s="4" t="inlineStr">
        <is>
          <t>( m ln</t>
        </is>
      </c>
      <c r="E46" s="4" t="inlineStr">
        <is>
          <t>k m )</t>
        </is>
      </c>
      <c r="F46" s="5" t="n">
        <v>6132</v>
      </c>
      <c r="G46" s="6" t="n">
        <v>5.1</v>
      </c>
      <c r="H46" s="5" t="n">
        <v>26</v>
      </c>
      <c r="I46" s="5" t="n">
        <v>2</v>
      </c>
      <c r="J46" s="5" t="n">
        <v>0</v>
      </c>
      <c r="K46" s="4" t="inlineStr">
        <is>
          <t>%</t>
        </is>
      </c>
      <c r="L46" s="5" t="n">
        <v>4</v>
      </c>
      <c r="M46" s="6" t="n">
        <v>8.6</v>
      </c>
      <c r="N46" s="5" t="n">
        <v>59</v>
      </c>
      <c r="O46" s="5" t="n">
        <v>4</v>
      </c>
      <c r="P46" s="6" t="n">
        <v>1.5</v>
      </c>
      <c r="Q46" s="5" t="n">
        <v>81</v>
      </c>
      <c r="R46" s="5" t="n">
        <v>17</v>
      </c>
      <c r="S46" s="4" t="inlineStr">
        <is>
          <t>%</t>
        </is>
      </c>
    </row>
    <row r="48">
      <c r="A48" s="4" t="inlineStr">
        <is>
          <t>K</t>
        </is>
      </c>
      <c r="B48" s="4" t="inlineStr">
        <is>
          <t>o n</t>
        </is>
      </c>
      <c r="C48" s="4" t="inlineStr">
        <is>
          <t>m</t>
        </is>
      </c>
      <c r="D48" s="4" t="inlineStr">
        <is>
          <t>a b</t>
        </is>
      </c>
      <c r="E48" s="4" t="inlineStr">
        <is>
          <t>a ş ı n a M i s a</t>
        </is>
      </c>
      <c r="F48" s="4" t="inlineStr">
        <is>
          <t>f i r</t>
        </is>
      </c>
      <c r="G48" s="5" t="n">
        <v>182</v>
      </c>
      <c r="H48" s="5" t="n">
        <v>17</v>
      </c>
      <c r="I48" s="5" t="n">
        <v>8</v>
      </c>
      <c r="J48" s="7" t="n">
        <v>0.02</v>
      </c>
      <c r="K48" s="5" t="n">
        <v>17</v>
      </c>
      <c r="L48" s="5" t="n">
        <v>8</v>
      </c>
      <c r="M48" s="5" t="n">
        <v>17</v>
      </c>
      <c r="N48" s="5" t="n">
        <v>8</v>
      </c>
      <c r="O48" s="5" t="n">
        <v>0</v>
      </c>
      <c r="P48" s="4" t="inlineStr">
        <is>
          <t>%</t>
        </is>
      </c>
    </row>
    <row r="50">
      <c r="A50" s="4" t="inlineStr">
        <is>
          <t>* C</t>
        </is>
      </c>
      <c r="B50" s="4" t="inlineStr">
        <is>
          <t>h a r t e r</t>
        </is>
      </c>
      <c r="C50" s="4" t="inlineStr">
        <is>
          <t>d a h il</t>
        </is>
      </c>
    </row>
    <row r="52">
      <c r="A52" s="4" t="inlineStr">
        <is>
          <t>K a</t>
        </is>
      </c>
      <c r="B52" s="4" t="inlineStr">
        <is>
          <t>r b o n</t>
        </is>
      </c>
      <c r="C52" s="4" t="inlineStr">
        <is>
          <t>E m i s y</t>
        </is>
      </c>
      <c r="D52" s="4" t="inlineStr">
        <is>
          <t>o</t>
        </is>
      </c>
      <c r="E52" s="4" t="inlineStr">
        <is>
          <t>n u</t>
        </is>
      </c>
      <c r="F52" s="4" t="inlineStr">
        <is>
          <t>İ</t>
        </is>
      </c>
      <c r="G52" s="4" t="inlineStr">
        <is>
          <t>s t a t</t>
        </is>
      </c>
      <c r="H52" s="4" t="inlineStr">
        <is>
          <t>i s t i k l e r i</t>
        </is>
      </c>
    </row>
    <row r="54">
      <c r="A54" s="4" t="inlineStr">
        <is>
          <t>A Y L I K</t>
        </is>
      </c>
      <c r="B54" s="5" t="n">
        <v>20</v>
      </c>
      <c r="C54" s="5" t="n">
        <v>25</v>
      </c>
      <c r="D54" s="5" t="n">
        <v>2</v>
      </c>
      <c r="E54" s="5" t="n">
        <v>2</v>
      </c>
      <c r="F54" s="4" t="inlineStr">
        <is>
          <t>4 K Ü</t>
        </is>
      </c>
      <c r="G54" s="4" t="inlineStr">
        <is>
          <t>M</t>
        </is>
      </c>
      <c r="H54" s="4" t="inlineStr">
        <is>
          <t>Ü L</t>
        </is>
      </c>
      <c r="I54" s="4" t="inlineStr">
        <is>
          <t>A T İ F</t>
        </is>
      </c>
      <c r="J54" s="5" t="n">
        <v>2</v>
      </c>
      <c r="K54" s="5" t="n">
        <v>2</v>
      </c>
      <c r="L54" s="5" t="n">
        <v>5</v>
      </c>
      <c r="M54" s="5" t="n">
        <v>20</v>
      </c>
      <c r="N54" s="5" t="n">
        <v>24</v>
      </c>
    </row>
    <row r="56">
      <c r="A56" s="4" t="inlineStr">
        <is>
          <t>C O</t>
        </is>
      </c>
      <c r="B56" s="4" t="inlineStr">
        <is>
          <t>2 g r a</t>
        </is>
      </c>
      <c r="C56" s="4" t="inlineStr">
        <is>
          <t>m / R P K</t>
        </is>
      </c>
      <c r="D56" s="4" t="inlineStr">
        <is>
          <t>O c a k</t>
        </is>
      </c>
      <c r="E56" s="5" t="n">
        <v>58</v>
      </c>
      <c r="F56" s="6" t="n">
        <v>0.2</v>
      </c>
      <c r="G56" s="5" t="n">
        <v>6</v>
      </c>
      <c r="H56" s="5" t="n">
        <v>0</v>
      </c>
      <c r="I56" s="5" t="n">
        <v>2</v>
      </c>
      <c r="J56" s="4" t="inlineStr">
        <is>
          <t>1 A</t>
        </is>
      </c>
      <c r="K56" s="5" t="n">
        <v>5</v>
      </c>
      <c r="L56" s="5" t="n">
        <v>8</v>
      </c>
      <c r="M56" s="5" t="n">
        <v>2</v>
      </c>
      <c r="N56" s="5" t="n">
        <v>60</v>
      </c>
      <c r="O56" s="6" t="n">
        <v>0.2</v>
      </c>
    </row>
    <row r="58">
      <c r="A58" s="4" t="inlineStr">
        <is>
          <t>Ş u b a t</t>
        </is>
      </c>
      <c r="B58" s="5" t="n">
        <v>55</v>
      </c>
      <c r="C58" s="6" t="n">
        <v>0.5</v>
      </c>
      <c r="D58" s="5" t="n">
        <v>5</v>
      </c>
      <c r="E58" s="5" t="n">
        <v>7</v>
      </c>
      <c r="F58" s="5" t="n">
        <v>2</v>
      </c>
      <c r="G58" s="4" t="inlineStr">
        <is>
          <t>2 A</t>
        </is>
      </c>
      <c r="H58" s="5" t="n">
        <v>5</v>
      </c>
      <c r="I58" s="5" t="n">
        <v>6</v>
      </c>
      <c r="J58" s="5" t="n">
        <v>9</v>
      </c>
      <c r="K58" s="5" t="n">
        <v>58</v>
      </c>
      <c r="L58" s="6" t="n">
        <v>0.7</v>
      </c>
    </row>
    <row r="60">
      <c r="A60" s="4" t="inlineStr">
        <is>
          <t>M a r t</t>
        </is>
      </c>
      <c r="B60" s="5" t="n">
        <v>57</v>
      </c>
      <c r="C60" s="6" t="n">
        <v>0.5</v>
      </c>
      <c r="D60" s="5" t="n">
        <v>5</v>
      </c>
      <c r="E60" s="5" t="n">
        <v>7</v>
      </c>
      <c r="F60" s="5" t="n">
        <v>2</v>
      </c>
      <c r="G60" s="4" t="inlineStr">
        <is>
          <t>3 A</t>
        </is>
      </c>
      <c r="H60" s="5" t="n">
        <v>5</v>
      </c>
      <c r="I60" s="5" t="n">
        <v>7</v>
      </c>
      <c r="J60" s="5" t="n">
        <v>1</v>
      </c>
      <c r="K60" s="5" t="n">
        <v>58</v>
      </c>
      <c r="L60" s="6" t="n">
        <v>0.2</v>
      </c>
    </row>
    <row r="62">
      <c r="A62" s="4" t="inlineStr">
        <is>
          <t>N i s a n</t>
        </is>
      </c>
      <c r="B62" s="5" t="n">
        <v>56</v>
      </c>
      <c r="C62" s="6" t="n">
        <v>0.8</v>
      </c>
      <c r="D62" s="5" t="n">
        <v>5</v>
      </c>
      <c r="E62" s="5" t="n">
        <v>7</v>
      </c>
      <c r="F62" s="5" t="n">
        <v>2</v>
      </c>
      <c r="G62" s="4" t="inlineStr">
        <is>
          <t>4 A</t>
        </is>
      </c>
      <c r="H62" s="5" t="n">
        <v>5</v>
      </c>
      <c r="I62" s="5" t="n">
        <v>7</v>
      </c>
      <c r="J62" s="5" t="n">
        <v>0</v>
      </c>
      <c r="K62" s="5" t="n">
        <v>57</v>
      </c>
      <c r="L62" s="6" t="n">
        <v>0.9</v>
      </c>
    </row>
    <row r="64">
      <c r="A64" s="4" t="inlineStr">
        <is>
          <t>M a y ı s</t>
        </is>
      </c>
      <c r="B64" s="5" t="n">
        <v>57</v>
      </c>
      <c r="C64" s="6" t="n">
        <v>0.8</v>
      </c>
      <c r="D64" s="5" t="n">
        <v>5</v>
      </c>
      <c r="E64" s="5" t="n">
        <v>7</v>
      </c>
      <c r="F64" s="5" t="n">
        <v>9</v>
      </c>
      <c r="G64" s="4" t="inlineStr">
        <is>
          <t>5 A</t>
        </is>
      </c>
      <c r="H64" s="5" t="n">
        <v>5</v>
      </c>
      <c r="I64" s="5" t="n">
        <v>7</v>
      </c>
      <c r="J64" s="5" t="n">
        <v>2</v>
      </c>
      <c r="K64" s="5" t="n">
        <v>57</v>
      </c>
      <c r="L64" s="6" t="n">
        <v>0.9</v>
      </c>
    </row>
    <row r="66">
      <c r="A66" s="4" t="inlineStr">
        <is>
          <t>H a z i r a n</t>
        </is>
      </c>
      <c r="B66" s="5" t="n">
        <v>57</v>
      </c>
      <c r="C66" s="6" t="n">
        <v>0.8</v>
      </c>
      <c r="D66" s="5" t="n">
        <v>6</v>
      </c>
      <c r="E66" s="5" t="n">
        <v>0</v>
      </c>
      <c r="F66" s="5" t="n">
        <v>4</v>
      </c>
      <c r="G66" s="4" t="inlineStr">
        <is>
          <t>6 A</t>
        </is>
      </c>
      <c r="H66" s="5" t="n">
        <v>5</v>
      </c>
      <c r="I66" s="5" t="n">
        <v>7</v>
      </c>
      <c r="J66" s="5" t="n">
        <v>3</v>
      </c>
      <c r="K66" s="5" t="n">
        <v>58</v>
      </c>
      <c r="L66" s="6" t="n">
        <v>0.4</v>
      </c>
    </row>
    <row r="68">
      <c r="A68" s="4" t="inlineStr">
        <is>
          <t>T</t>
        </is>
      </c>
      <c r="B68" s="4" t="inlineStr">
        <is>
          <t>e m m u z</t>
        </is>
      </c>
      <c r="C68" s="5" t="n">
        <v>58</v>
      </c>
      <c r="D68" s="6" t="n">
        <v>0.7</v>
      </c>
      <c r="E68" s="5" t="n">
        <v>5</v>
      </c>
      <c r="F68" s="5" t="n">
        <v>9</v>
      </c>
      <c r="G68" s="5" t="n">
        <v>4</v>
      </c>
      <c r="H68" s="4" t="inlineStr">
        <is>
          <t>7 A</t>
        </is>
      </c>
      <c r="I68" s="5" t="n">
        <v>5</v>
      </c>
      <c r="J68" s="5" t="n">
        <v>7</v>
      </c>
      <c r="K68" s="5" t="n">
        <v>5</v>
      </c>
      <c r="L68" s="5" t="n">
        <v>58</v>
      </c>
      <c r="M68" s="6" t="n">
        <v>0.6</v>
      </c>
    </row>
    <row r="70">
      <c r="A70" s="4" t="inlineStr">
        <is>
          <t>A</t>
        </is>
      </c>
      <c r="B70" s="4" t="inlineStr">
        <is>
          <t>ğ u s t o s</t>
        </is>
      </c>
      <c r="C70" s="5" t="n">
        <v>56</v>
      </c>
      <c r="D70" s="6" t="n">
        <v>0.1</v>
      </c>
      <c r="E70" s="5" t="n">
        <v>5</v>
      </c>
      <c r="F70" s="5" t="n">
        <v>7</v>
      </c>
      <c r="G70" s="5" t="n">
        <v>1</v>
      </c>
      <c r="H70" s="4" t="inlineStr">
        <is>
          <t>8 A</t>
        </is>
      </c>
      <c r="I70" s="5" t="n">
        <v>5</v>
      </c>
      <c r="J70" s="5" t="n">
        <v>7</v>
      </c>
      <c r="K70" s="5" t="n">
        <v>3</v>
      </c>
      <c r="L70" s="5" t="n">
        <v>58</v>
      </c>
      <c r="M70" s="6" t="n">
        <v>0.3</v>
      </c>
    </row>
    <row r="72">
      <c r="A72" s="4" t="inlineStr">
        <is>
          <t>E y l ü l</t>
        </is>
      </c>
      <c r="B72" s="5" t="n">
        <v>56</v>
      </c>
      <c r="C72" s="6" t="n">
        <v>0.4</v>
      </c>
      <c r="D72" s="5" t="n">
        <v>5</v>
      </c>
      <c r="E72" s="5" t="n">
        <v>7</v>
      </c>
      <c r="F72" s="5" t="n">
        <v>8</v>
      </c>
      <c r="G72" s="4" t="inlineStr">
        <is>
          <t>9 A</t>
        </is>
      </c>
      <c r="H72" s="5" t="n">
        <v>5</v>
      </c>
      <c r="I72" s="5" t="n">
        <v>7</v>
      </c>
      <c r="J72" s="5" t="n">
        <v>2</v>
      </c>
      <c r="K72" s="5" t="n">
        <v>58</v>
      </c>
      <c r="L72" s="6" t="n">
        <v>0.3</v>
      </c>
    </row>
    <row r="74">
      <c r="A74" s="4" t="inlineStr">
        <is>
          <t>Y I L</t>
        </is>
      </c>
      <c r="B74" s="4" t="inlineStr">
        <is>
          <t>L I K</t>
        </is>
      </c>
      <c r="C74" s="5" t="n">
        <v>2019</v>
      </c>
      <c r="D74" s="5" t="n">
        <v>20</v>
      </c>
      <c r="E74" s="5" t="n">
        <v>20</v>
      </c>
      <c r="F74" s="5" t="n">
        <v>2</v>
      </c>
      <c r="G74" s="5" t="n">
        <v>2</v>
      </c>
      <c r="H74" s="5" t="n">
        <v>1</v>
      </c>
      <c r="I74" s="5" t="n">
        <v>2</v>
      </c>
      <c r="J74" s="5" t="n">
        <v>2</v>
      </c>
      <c r="K74" s="5" t="n">
        <v>2</v>
      </c>
      <c r="L74" s="5" t="n">
        <v>2</v>
      </c>
      <c r="M74" s="5" t="n">
        <v>2</v>
      </c>
      <c r="N74" s="5" t="n">
        <v>3</v>
      </c>
      <c r="O74" s="5" t="n">
        <v>20</v>
      </c>
      <c r="P74" s="5" t="n">
        <v>24</v>
      </c>
    </row>
    <row r="76">
      <c r="A76" s="4" t="inlineStr">
        <is>
          <t>C O</t>
        </is>
      </c>
      <c r="B76" s="4" t="inlineStr">
        <is>
          <t>2 g r a</t>
        </is>
      </c>
      <c r="C76" s="4" t="inlineStr">
        <is>
          <t>m / R P K</t>
        </is>
      </c>
      <c r="D76" s="6" t="n">
        <v>65.09999999999999</v>
      </c>
      <c r="E76" s="5" t="n">
        <v>71</v>
      </c>
      <c r="F76" s="6" t="n">
        <v>0.3</v>
      </c>
      <c r="G76" s="5" t="n">
        <v>7</v>
      </c>
      <c r="H76" s="5" t="n">
        <v>1</v>
      </c>
      <c r="I76" s="5" t="n">
        <v>0</v>
      </c>
      <c r="J76" s="5" t="n">
        <v>6</v>
      </c>
      <c r="K76" s="5" t="n">
        <v>2</v>
      </c>
      <c r="L76" s="5" t="n">
        <v>1</v>
      </c>
      <c r="M76" s="5" t="n">
        <v>6</v>
      </c>
      <c r="N76" s="5" t="n">
        <v>1</v>
      </c>
      <c r="O76" s="5" t="n">
        <v>3</v>
      </c>
      <c r="P76" s="5" t="n">
        <v>58</v>
      </c>
      <c r="Q76" s="6" t="n">
        <v>0.3</v>
      </c>
    </row>
    <row r="77">
      <c r="A77" s="4" t="inlineStr">
        <is>
          <t>Karb</t>
        </is>
      </c>
      <c r="B77" s="4" t="inlineStr">
        <is>
          <t>on Emi</t>
        </is>
      </c>
      <c r="C77" s="4" t="inlineStr">
        <is>
          <t>syonu İst</t>
        </is>
      </c>
      <c r="D77" s="4" t="inlineStr">
        <is>
          <t>ati</t>
        </is>
      </c>
      <c r="E77" s="4" t="inlineStr">
        <is>
          <t>stik</t>
        </is>
      </c>
      <c r="F77" s="4" t="inlineStr">
        <is>
          <t>ler</t>
        </is>
      </c>
      <c r="G77" s="4" t="inlineStr">
        <is>
          <t>inde</t>
        </is>
      </c>
      <c r="H77" s="4" t="inlineStr">
        <is>
          <t>(grCO2/RPK)</t>
        </is>
      </c>
      <c r="I77" s="4" t="inlineStr">
        <is>
          <t>jet yakıtı emisyon</t>
        </is>
      </c>
      <c r="J77" s="4" t="inlineStr">
        <is>
          <t>katsayısı ba</t>
        </is>
      </c>
      <c r="K77" s="4" t="inlineStr">
        <is>
          <t>z yıl ve tüm</t>
        </is>
      </c>
      <c r="L77" s="4" t="inlineStr">
        <is>
          <t>raporlanan dö</t>
        </is>
      </c>
      <c r="M77" s="4" t="inlineStr">
        <is>
          <t>ne</t>
        </is>
      </c>
      <c r="N77" s="4" t="inlineStr">
        <is>
          <t>ml</t>
        </is>
      </c>
      <c r="O77" s="4" t="inlineStr">
        <is>
          <t>er için 3,16 ola</t>
        </is>
      </c>
      <c r="P77" s="4" t="inlineStr">
        <is>
          <t>ra</t>
        </is>
      </c>
      <c r="Q77" s="4" t="inlineStr">
        <is>
          <t>k ku</t>
        </is>
      </c>
      <c r="R77" s="4" t="inlineStr">
        <is>
          <t>llanılmıştır.</t>
        </is>
      </c>
    </row>
    <row r="79">
      <c r="A79" s="4" t="inlineStr">
        <is>
          <t>Arz</t>
        </is>
      </c>
      <c r="B79" s="4" t="inlineStr">
        <is>
          <t>edilen</t>
        </is>
      </c>
      <c r="C79" s="4" t="inlineStr">
        <is>
          <t>Koltuk</t>
        </is>
      </c>
      <c r="D79" s="4" t="inlineStr">
        <is>
          <t>Kil</t>
        </is>
      </c>
      <c r="E79" s="4" t="inlineStr">
        <is>
          <t>om</t>
        </is>
      </c>
      <c r="F79" s="4" t="inlineStr">
        <is>
          <t>et</t>
        </is>
      </c>
      <c r="G79" s="4" t="inlineStr">
        <is>
          <t>re (</t>
        </is>
      </c>
      <c r="H79" s="4" t="inlineStr">
        <is>
          <t>ASK) = Uçuşa</t>
        </is>
      </c>
      <c r="I79" s="4" t="inlineStr">
        <is>
          <t>arz edilen kolt</t>
        </is>
      </c>
      <c r="J79" s="4" t="inlineStr">
        <is>
          <t>uk sayısı x</t>
        </is>
      </c>
      <c r="K79" s="4" t="inlineStr">
        <is>
          <t>Ortalama</t>
        </is>
      </c>
      <c r="L79" s="4" t="inlineStr">
        <is>
          <t>Uçuş Mesaf</t>
        </is>
      </c>
      <c r="M79" s="4" t="inlineStr">
        <is>
          <t>es</t>
        </is>
      </c>
      <c r="N79" s="4" t="inlineStr">
        <is>
          <t>i</t>
        </is>
      </c>
    </row>
    <row r="81">
      <c r="A81" s="4" t="inlineStr">
        <is>
          <t>Dol</t>
        </is>
      </c>
      <c r="B81" s="4" t="inlineStr">
        <is>
          <t>uluk Or</t>
        </is>
      </c>
      <c r="C81" s="4" t="inlineStr">
        <is>
          <t>anı = B</t>
        </is>
      </c>
      <c r="D81" s="4" t="inlineStr">
        <is>
          <t>ile</t>
        </is>
      </c>
      <c r="E81" s="4" t="inlineStr">
        <is>
          <t>tle</t>
        </is>
      </c>
      <c r="F81" s="4" t="inlineStr">
        <is>
          <t>nm</t>
        </is>
      </c>
      <c r="G81" s="4" t="inlineStr">
        <is>
          <t>iş m</t>
        </is>
      </c>
      <c r="H81" s="4" t="inlineStr">
        <is>
          <t>isafir sayısı</t>
        </is>
      </c>
      <c r="I81" s="4" t="inlineStr">
        <is>
          <t>/ Toplam koltu</t>
        </is>
      </c>
      <c r="J81" s="4" t="inlineStr">
        <is>
          <t>k sayısı</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9" customWidth="1" min="2" max="2"/>
    <col width="23" customWidth="1" min="3" max="3"/>
    <col width="20" customWidth="1" min="4" max="4"/>
    <col width="14" customWidth="1" min="5" max="5"/>
    <col width="25" customWidth="1" min="6" max="6"/>
    <col width="15" customWidth="1" min="7" max="7"/>
    <col width="24" customWidth="1" min="8" max="8"/>
    <col width="26" customWidth="1" min="9" max="9"/>
    <col width="24" customWidth="1" min="10" max="10"/>
  </cols>
  <sheetData>
    <row r="1">
      <c r="A1" s="4" t="inlineStr">
        <is>
          <t>Bu belge Pegasus Hava</t>
        </is>
      </c>
      <c r="B1" s="4" t="inlineStr">
        <is>
          <t>Taşımacılığı An</t>
        </is>
      </c>
      <c r="C1" s="4" t="inlineStr">
        <is>
          <t>onim Şirketi (“Peg</t>
        </is>
      </c>
      <c r="D1" s="4" t="inlineStr">
        <is>
          <t>asus”) tarafında</t>
        </is>
      </c>
      <c r="E1" s="4" t="inlineStr">
        <is>
          <t>n Pegasus</t>
        </is>
      </c>
      <c r="F1" s="4" t="inlineStr">
        <is>
          <t>Bilgilendirme Politik</t>
        </is>
      </c>
      <c r="G1" s="4" t="inlineStr">
        <is>
          <t>ası uyarınca</t>
        </is>
      </c>
      <c r="H1" s="4" t="inlineStr">
        <is>
          <t>hazırlanmıştır. Bu b</t>
        </is>
      </c>
      <c r="I1" s="4" t="inlineStr">
        <is>
          <t>elgede yer alan bilgil</t>
        </is>
      </c>
      <c r="J1" s="4" t="inlineStr">
        <is>
          <t>er Pegasus’un kendi</t>
        </is>
      </c>
    </row>
    <row r="2">
      <c r="A2" s="3" t="inlineStr">
        <is>
          <t>kayıtlarına, Pegasus’un</t>
        </is>
      </c>
      <c r="B2" s="3" t="inlineStr">
        <is>
          <t>faaliyet göster</t>
        </is>
      </c>
      <c r="C2" s="3" t="inlineStr">
        <is>
          <t>diği pazarlara ait k</t>
        </is>
      </c>
      <c r="D2" s="3" t="inlineStr">
        <is>
          <t>endi bilgi ve tecr</t>
        </is>
      </c>
      <c r="E2" s="3" t="inlineStr">
        <is>
          <t>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 p</t>
        </is>
      </c>
      <c r="C3" s="4" t="inlineStr">
        <is>
          <t>iyasa ve benzeri ko</t>
        </is>
      </c>
      <c r="D3" s="4" t="inlineStr">
        <is>
          <t>nulara ilişkin ver</t>
        </is>
      </c>
      <c r="E3" s="4" t="inlineStr">
        <is>
          <t>ilere daya</t>
        </is>
      </c>
      <c r="F3" s="4" t="inlineStr">
        <is>
          <t>nmaktadır ve dış kay</t>
        </is>
      </c>
      <c r="G3" s="4" t="inlineStr">
        <is>
          <t>naklı verile</t>
        </is>
      </c>
      <c r="H3" s="4" t="inlineStr">
        <is>
          <t>r için kaynak gösteri</t>
        </is>
      </c>
      <c r="I3" s="4" t="inlineStr">
        <is>
          <t>lmektedir. Pegasus d</t>
        </is>
      </c>
      <c r="J3" s="4" t="inlineStr">
        <is>
          <t>ış kaynaklı verilerin</t>
        </is>
      </c>
    </row>
    <row r="4">
      <c r="A4" s="4" t="inlineStr">
        <is>
          <t>güvenilir kaynaklardan</t>
        </is>
      </c>
      <c r="B4" s="4" t="inlineStr">
        <is>
          <t>elde edildiğini</t>
        </is>
      </c>
      <c r="C4" s="4" t="inlineStr">
        <is>
          <t>değerlendirmekle</t>
        </is>
      </c>
      <c r="D4" s="4" t="inlineStr">
        <is>
          <t>birlikte bu verile</t>
        </is>
      </c>
      <c r="E4" s="4" t="inlineStr">
        <is>
          <t>rin doğrul</t>
        </is>
      </c>
      <c r="F4" s="4" t="inlineStr">
        <is>
          <t>uğunu kontrol etmem</t>
        </is>
      </c>
      <c r="G4" s="4" t="inlineStr">
        <is>
          <t>ektedir ve</t>
        </is>
      </c>
      <c r="H4" s="4" t="inlineStr">
        <is>
          <t>bu verilerin tam vey</t>
        </is>
      </c>
      <c r="I4" s="4" t="inlineStr">
        <is>
          <t>a doğru olduğu veya</t>
        </is>
      </c>
      <c r="J4" s="4" t="inlineStr">
        <is>
          <t>yanıltıcı olmadığına</t>
        </is>
      </c>
    </row>
    <row r="5">
      <c r="A5" s="4" t="inlineStr">
        <is>
          <t>dair herhangi bir taahh</t>
        </is>
      </c>
      <c r="B5" s="4" t="inlineStr">
        <is>
          <t>ütte bulunmam</t>
        </is>
      </c>
      <c r="C5" s="4" t="inlineStr">
        <is>
          <t>aktadır.</t>
        </is>
      </c>
    </row>
    <row r="7">
      <c r="A7" s="4" t="inlineStr">
        <is>
          <t>Burada yer alan veriler</t>
        </is>
      </c>
      <c r="B7" s="4" t="inlineStr">
        <is>
          <t>yatırımcıları Pe</t>
        </is>
      </c>
      <c r="C7" s="4" t="inlineStr">
        <is>
          <t>gasus’un faaliyet s</t>
        </is>
      </c>
      <c r="D7" s="4" t="inlineStr">
        <is>
          <t>onuçları, hedef v</t>
        </is>
      </c>
      <c r="E7" s="4" t="inlineStr">
        <is>
          <t>e beklent</t>
        </is>
      </c>
      <c r="F7" s="4" t="inlineStr">
        <is>
          <t>ileri hakkında doğru,</t>
        </is>
      </c>
      <c r="G7" s="4" t="inlineStr">
        <is>
          <t>açık ve eşit</t>
        </is>
      </c>
      <c r="H7" s="4" t="inlineStr">
        <is>
          <t>koşullarda bilgilend</t>
        </is>
      </c>
      <c r="I7" s="4" t="inlineStr">
        <is>
          <t>irme amacıyla hazırla</t>
        </is>
      </c>
      <c r="J7" s="4" t="inlineStr">
        <is>
          <t>nmış olup herhangi</t>
        </is>
      </c>
    </row>
    <row r="8">
      <c r="A8" s="4" t="inlineStr">
        <is>
          <t>bir yatırım tavsiyesi vey</t>
        </is>
      </c>
      <c r="B8" s="4" t="inlineStr">
        <is>
          <t>a Pegasus tara</t>
        </is>
      </c>
      <c r="C8" s="4" t="inlineStr">
        <is>
          <t>fından ihraç edilmi</t>
        </is>
      </c>
      <c r="D8" s="4" t="inlineStr">
        <is>
          <t>ş sermaye piyas</t>
        </is>
      </c>
      <c r="E8" s="4" t="inlineStr">
        <is>
          <t>ası araçları</t>
        </is>
      </c>
      <c r="F8" s="4" t="inlineStr">
        <is>
          <t>na ilişkin bir icap vey</t>
        </is>
      </c>
      <c r="G8" s="4" t="inlineStr">
        <is>
          <t>a icaba dav</t>
        </is>
      </c>
      <c r="H8" s="4" t="inlineStr">
        <is>
          <t>et oluşturmamaktad</t>
        </is>
      </c>
      <c r="I8" s="4" t="inlineStr">
        <is>
          <t>ır. Yatırımcıların yatı</t>
        </is>
      </c>
      <c r="J8" s="4" t="inlineStr">
        <is>
          <t>rım kararlarını farklı</t>
        </is>
      </c>
    </row>
    <row r="9">
      <c r="A9" s="4" t="inlineStr">
        <is>
          <t>kaynaklardan erişimleri</t>
        </is>
      </c>
      <c r="B9" s="4" t="inlineStr">
        <is>
          <t>ne sunulan ve</t>
        </is>
      </c>
      <c r="C9" s="4" t="inlineStr">
        <is>
          <t>yatırım kararlarını</t>
        </is>
      </c>
      <c r="D9" s="4" t="inlineStr">
        <is>
          <t>etkileyebilecek d</t>
        </is>
      </c>
      <c r="E9" s="4" t="inlineStr">
        <is>
          <t>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yatırım</t>
        </is>
      </c>
      <c r="C11" s="4" t="inlineStr">
        <is>
          <t>cı bilgilendirme be</t>
        </is>
      </c>
      <c r="D11" s="4" t="inlineStr">
        <is>
          <t>lgeleri geleceğe</t>
        </is>
      </c>
      <c r="E11" s="4" t="inlineStr">
        <is>
          <t>yönelik he</t>
        </is>
      </c>
      <c r="F11" s="4" t="inlineStr">
        <is>
          <t>def veya beklentiler</t>
        </is>
      </c>
      <c r="G11" s="4" t="inlineStr">
        <is>
          <t>içerebilir. B</t>
        </is>
      </c>
      <c r="H11" s="4" t="inlineStr">
        <is>
          <t>u hedef ve beklenti</t>
        </is>
      </c>
      <c r="I11" s="4" t="inlineStr">
        <is>
          <t>ler bu başlık ile veya</t>
        </is>
      </c>
      <c r="J11" s="4" t="inlineStr">
        <is>
          <t>“öngörülmektedir”,</t>
        </is>
      </c>
    </row>
    <row r="12">
      <c r="A12" s="4" t="inlineStr">
        <is>
          <t>“düşünülmektedir”, “ta</t>
        </is>
      </c>
      <c r="B12" s="4" t="inlineStr">
        <is>
          <t>hmin edilmekt</t>
        </is>
      </c>
      <c r="C12" s="4" t="inlineStr">
        <is>
          <t>edir”, “beklenmek</t>
        </is>
      </c>
      <c r="D12" s="4" t="inlineStr">
        <is>
          <t>tedir” ve benzer</t>
        </is>
      </c>
      <c r="E12" s="4" t="inlineStr">
        <is>
          <t>ifadeler il</t>
        </is>
      </c>
      <c r="F12" s="4" t="inlineStr">
        <is>
          <t>e veya gelecek zam</t>
        </is>
      </c>
      <c r="G12" s="4" t="inlineStr">
        <is>
          <t>an kipi kulla</t>
        </is>
      </c>
      <c r="H12" s="4" t="inlineStr">
        <is>
          <t>nılarak paylaşılabilir</t>
        </is>
      </c>
      <c r="I12" s="4" t="inlineStr">
        <is>
          <t>. Geleceğe yönelik h</t>
        </is>
      </c>
      <c r="J12" s="4" t="inlineStr">
        <is>
          <t>edef ve beklentiler</t>
        </is>
      </c>
    </row>
    <row r="13">
      <c r="A13" s="4" t="inlineStr">
        <is>
          <t>Pegasus’un operasyone</t>
        </is>
      </c>
      <c r="B13" s="4" t="inlineStr">
        <is>
          <t>l ve mali perfo</t>
        </is>
      </c>
      <c r="C13" s="4" t="inlineStr">
        <is>
          <t>rmansı, büyüme v</t>
        </is>
      </c>
      <c r="D13" s="4" t="inlineStr">
        <is>
          <t>e stratejisine ve</t>
        </is>
      </c>
      <c r="E13" s="4" t="inlineStr">
        <is>
          <t>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hen</t>
        </is>
      </c>
      <c r="C14" s="4" t="inlineStr">
        <is>
          <t>üz gerçekleşmemi</t>
        </is>
      </c>
      <c r="D14" s="4" t="inlineStr">
        <is>
          <t>ş konulara ilişkin</t>
        </is>
      </c>
      <c r="E14" s="4" t="inlineStr">
        <is>
          <t>dir. Gelec</t>
        </is>
      </c>
      <c r="F14" s="4" t="inlineStr">
        <is>
          <t>eğe yönelik hedef ve</t>
        </is>
      </c>
      <c r="G14" s="4" t="inlineStr">
        <is>
          <t>beklentiler</t>
        </is>
      </c>
      <c r="H14" s="4" t="inlineStr">
        <is>
          <t>makul varsayım ve</t>
        </is>
      </c>
      <c r="I14" s="4" t="inlineStr">
        <is>
          <t>tahminlere dayandırı</t>
        </is>
      </c>
      <c r="J14" s="4" t="inlineStr">
        <is>
          <t>lır. Bununla birlikte</t>
        </is>
      </c>
    </row>
    <row r="15">
      <c r="A15" s="4" t="inlineStr">
        <is>
          <t>bu hedef ve beklentiler</t>
        </is>
      </c>
      <c r="B15" s="4" t="inlineStr">
        <is>
          <t>belirsizlik ve ri</t>
        </is>
      </c>
      <c r="C15" s="4" t="inlineStr">
        <is>
          <t>skler içermekte olu</t>
        </is>
      </c>
      <c r="D15" s="4" t="inlineStr">
        <is>
          <t>p, duyurunun ya</t>
        </is>
      </c>
      <c r="E15" s="4" t="inlineStr">
        <is>
          <t>pıldığı tari</t>
        </is>
      </c>
      <c r="F15" s="4" t="inlineStr">
        <is>
          <t>h itibarıyla geçerli he</t>
        </is>
      </c>
      <c r="G15" s="4" t="inlineStr">
        <is>
          <t>def ve bekle</t>
        </is>
      </c>
      <c r="H15" s="4" t="inlineStr">
        <is>
          <t>ntileri ifade etmekt</t>
        </is>
      </c>
      <c r="I15" s="4" t="inlineStr">
        <is>
          <t>edir. Birçok etken gel</t>
        </is>
      </c>
      <c r="J15" s="4" t="inlineStr">
        <is>
          <t>eceğe yönelik hedef</t>
        </is>
      </c>
    </row>
    <row r="16">
      <c r="A16" s="4" t="inlineStr">
        <is>
          <t>ve beklentilerin öngörü</t>
        </is>
      </c>
      <c r="B16" s="4" t="inlineStr">
        <is>
          <t>lenden önemli</t>
        </is>
      </c>
      <c r="C16" s="4" t="inlineStr">
        <is>
          <t>ölçüde farklı sonu</t>
        </is>
      </c>
      <c r="D16" s="4" t="inlineStr">
        <is>
          <t>çlanmasına yol a</t>
        </is>
      </c>
      <c r="E16" s="4" t="inlineStr">
        <is>
          <t>çabilir.</t>
        </is>
      </c>
    </row>
    <row r="18">
      <c r="A18" s="4" t="inlineStr">
        <is>
          <t>Pegasus geleceğe yöne</t>
        </is>
      </c>
      <c r="B18" s="4" t="inlineStr">
        <is>
          <t>lik hedef ve be</t>
        </is>
      </c>
      <c r="C18" s="4" t="inlineStr">
        <is>
          <t>klentiler de dahil ol</t>
        </is>
      </c>
      <c r="D18" s="4" t="inlineStr">
        <is>
          <t>mak üzere bu be</t>
        </is>
      </c>
      <c r="E18" s="4" t="inlineStr">
        <is>
          <t>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yen</t>
        </is>
      </c>
      <c r="C19" s="4" t="inlineStr">
        <is>
          <t>ilenmesi veya düz</t>
        </is>
      </c>
      <c r="D19" s="4" t="inlineStr">
        <is>
          <t>enli olarak bildir</t>
        </is>
      </c>
      <c r="E19" s="4" t="inlineStr">
        <is>
          <t>imi konus</t>
        </is>
      </c>
      <c r="F19" s="4" t="inlineStr">
        <is>
          <t>unda herhangi bir t</t>
        </is>
      </c>
      <c r="G19" s="4" t="inlineStr">
        <is>
          <t>aahhütte bu</t>
        </is>
      </c>
      <c r="H19" s="4" t="inlineStr">
        <is>
          <t>lunmamaktadır. Bu</t>
        </is>
      </c>
      <c r="I19" s="4" t="inlineStr">
        <is>
          <t>belgeyi herhangi bir</t>
        </is>
      </c>
      <c r="J19" s="4" t="inlineStr">
        <is>
          <t>şekilde kullanarak</t>
        </is>
      </c>
    </row>
    <row r="20">
      <c r="A20" s="4" t="inlineStr">
        <is>
          <t>burada yer verilen uyar</t>
        </is>
      </c>
      <c r="B20" s="4" t="inlineStr">
        <is>
          <t>ıları okuduğun</t>
        </is>
      </c>
      <c r="C20" s="4" t="inlineStr">
        <is>
          <t>uz, anladığınız ve k</t>
        </is>
      </c>
      <c r="D20" s="4" t="inlineStr">
        <is>
          <t>abul ettiğiniz var</t>
        </is>
      </c>
      <c r="E20" s="4" t="inlineStr">
        <is>
          <t>sayılmakt</t>
        </is>
      </c>
      <c r="F20" s="4" t="inlineStr">
        <is>
          <t>adır.</t>
        </is>
      </c>
    </row>
    <row r="22">
      <c r="A22" s="2" t="inlineStr">
        <is>
          <t>Genel (Public)</t>
        </is>
      </c>
    </row>
  </sheetData>
  <mergeCells count="1">
    <mergeCell ref="A22:J2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9" customWidth="1" min="2" max="2"/>
  </cols>
  <sheetData>
    <row r="1">
      <c r="A1" s="2" t="inlineStr">
        <is>
          <t>AYLIK</t>
        </is>
      </c>
    </row>
    <row r="2">
      <c r="A2" s="2" t="inlineStr">
        <is>
          <t>Ekim Ekim '25/'24</t>
        </is>
      </c>
    </row>
    <row r="3">
      <c r="A3" s="2" t="inlineStr">
        <is>
          <t>2025 2024 % Değ.</t>
        </is>
      </c>
    </row>
    <row r="4">
      <c r="A4" s="4" t="inlineStr">
        <is>
          <t>Misafir sayısı, mn
Konma
Koltuk sayısı, mn
Doluluk Oranı
ASK (mln km)
Konma başına Misafir</t>
        </is>
      </c>
      <c r="B4" s="4" t="inlineStr">
        <is>
          <t>4.06 3.37 21%
21,676 18,284 19%
4.58 3.83 20%
88.7% 87.9% 0.8p
7,461 5,946 25%
187 184 2%</t>
        </is>
      </c>
    </row>
    <row r="5">
      <c r="A5" s="4" t="inlineStr">
        <is>
          <t>Misafir sayısı, mn
Konma
Koltuk sayısı, mn
Doluluk Oranı
ASK (mln km)
Konma başına Misafir</t>
        </is>
      </c>
      <c r="B5" s="4" t="inlineStr">
        <is>
          <t>1.36 1.22 12%
6,925 6,373 9%
1.49 1.35 11%
91.2% 90.1% 1.1p
1,154 951 21%
197 191 3%</t>
        </is>
      </c>
    </row>
    <row r="6">
      <c r="A6" s="4" t="inlineStr">
        <is>
          <t>Misafir sayısı, mn
Konma
Koltuk sayısı, mn
Doluluk Oranı
ASK (mln km)
Konma başına Misafir</t>
        </is>
      </c>
      <c r="B6" s="4" t="inlineStr">
        <is>
          <t>2.70 2.15 26%
14,751 11,911 24%
3.09 2.48 25%
87.5% 86.7% 0.7p
6,307 4,995 26%
183 180 1%</t>
        </is>
      </c>
    </row>
  </sheetData>
  <mergeCells count="3">
    <mergeCell ref="A3:B3"/>
    <mergeCell ref="A2:B2"/>
    <mergeCell ref="A1:B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7" customWidth="1" min="1" max="1"/>
    <col width="26" customWidth="1" min="2" max="2"/>
    <col width="17" customWidth="1" min="3" max="3"/>
    <col width="19" customWidth="1" min="4" max="4"/>
    <col width="14" customWidth="1" min="5" max="5"/>
    <col width="19" customWidth="1" min="6" max="6"/>
    <col width="12" customWidth="1" min="7" max="7"/>
    <col width="15" customWidth="1" min="8" max="8"/>
    <col width="24" customWidth="1" min="9" max="9"/>
    <col width="25" customWidth="1" min="10" max="10"/>
    <col width="24" customWidth="1" min="11" max="11"/>
  </cols>
  <sheetData>
    <row r="1">
      <c r="A1" s="4" t="inlineStr">
        <is>
          <t>Bu belge Pegasus Hava</t>
        </is>
      </c>
      <c r="B1" s="4" t="inlineStr">
        <is>
          <t>Taşımacılığı Anonim</t>
        </is>
      </c>
      <c r="C1" s="4" t="inlineStr">
        <is>
          <t>Şirketi (“Pega</t>
        </is>
      </c>
      <c r="D1" s="4" t="inlineStr">
        <is>
          <t>sus”) tarafında</t>
        </is>
      </c>
      <c r="E1" s="4" t="inlineStr">
        <is>
          <t>n Pegasus</t>
        </is>
      </c>
      <c r="F1" s="4" t="inlineStr">
        <is>
          <t>Bilgilendirme</t>
        </is>
      </c>
      <c r="G1" s="4" t="inlineStr">
        <is>
          <t>Politik</t>
        </is>
      </c>
      <c r="H1" s="4" t="inlineStr">
        <is>
          <t>ası uyarınca</t>
        </is>
      </c>
      <c r="I1" s="4" t="inlineStr">
        <is>
          <t>hazırlanmıştır. Bu be</t>
        </is>
      </c>
      <c r="J1" s="4" t="inlineStr">
        <is>
          <t>lgede yer alan bilgil</t>
        </is>
      </c>
      <c r="K1" s="4" t="inlineStr">
        <is>
          <t>er Pegasus’un kendi</t>
        </is>
      </c>
    </row>
    <row r="2">
      <c r="A2" s="3" t="inlineStr">
        <is>
          <t>kayıtlarına, Pegasus’un</t>
        </is>
      </c>
      <c r="B2" s="3" t="inlineStr">
        <is>
          <t>faaliyet gösterdiği p</t>
        </is>
      </c>
      <c r="C2" s="3" t="inlineStr">
        <is>
          <t>azarlara ait ke</t>
        </is>
      </c>
      <c r="D2" s="3" t="inlineStr">
        <is>
          <t>ndi bilgi ve tecr</t>
        </is>
      </c>
      <c r="E2" s="3" t="inlineStr">
        <is>
          <t>übeleri uy</t>
        </is>
      </c>
      <c r="F2" s="3" t="inlineStr">
        <is>
          <t>arınca gerçekl</t>
        </is>
      </c>
      <c r="G2" s="3" t="inlineStr">
        <is>
          <t>eştirile</t>
        </is>
      </c>
      <c r="H2" s="3" t="inlineStr">
        <is>
          <t>n araştırma</t>
        </is>
      </c>
      <c r="I2" s="3" t="inlineStr">
        <is>
          <t>ve öngörülere veya</t>
        </is>
      </c>
      <c r="J2" s="3" t="inlineStr">
        <is>
          <t>Pegasus’un erişimin</t>
        </is>
      </c>
      <c r="K2" s="3" t="inlineStr">
        <is>
          <t>e sunulan ve üçüncü</t>
        </is>
      </c>
    </row>
    <row r="3">
      <c r="A3" s="4" t="inlineStr">
        <is>
          <t>kişiler tarafından hazırl</t>
        </is>
      </c>
      <c r="B3" s="4" t="inlineStr">
        <is>
          <t>anan sektör, piyasa</t>
        </is>
      </c>
      <c r="C3" s="4" t="inlineStr">
        <is>
          <t>ve benzeri kon</t>
        </is>
      </c>
      <c r="D3" s="4" t="inlineStr">
        <is>
          <t>ulara ilişkin ve</t>
        </is>
      </c>
      <c r="E3" s="4" t="inlineStr">
        <is>
          <t>rilere daya</t>
        </is>
      </c>
      <c r="F3" s="4" t="inlineStr">
        <is>
          <t>nmaktadır ve</t>
        </is>
      </c>
      <c r="G3" s="4" t="inlineStr">
        <is>
          <t>dış kay</t>
        </is>
      </c>
      <c r="H3" s="4" t="inlineStr">
        <is>
          <t>naklı verile</t>
        </is>
      </c>
      <c r="I3" s="4" t="inlineStr">
        <is>
          <t>r için kaynak gösteril</t>
        </is>
      </c>
      <c r="J3" s="4" t="inlineStr">
        <is>
          <t>mektedir. Pegasus d</t>
        </is>
      </c>
      <c r="K3" s="4" t="inlineStr">
        <is>
          <t>ış kaynaklı verilerin</t>
        </is>
      </c>
    </row>
    <row r="4">
      <c r="A4" s="4" t="inlineStr">
        <is>
          <t>güvenilir kaynaklardan</t>
        </is>
      </c>
      <c r="B4" s="4" t="inlineStr">
        <is>
          <t>elde edildiğini değer</t>
        </is>
      </c>
      <c r="C4" s="4" t="inlineStr">
        <is>
          <t>lendirmekle b</t>
        </is>
      </c>
      <c r="D4" s="4" t="inlineStr">
        <is>
          <t>irlikte bu verile</t>
        </is>
      </c>
      <c r="E4" s="4" t="inlineStr">
        <is>
          <t>rin doğrul</t>
        </is>
      </c>
      <c r="F4" s="4" t="inlineStr">
        <is>
          <t>uğunu kontrol</t>
        </is>
      </c>
      <c r="G4" s="4" t="inlineStr">
        <is>
          <t>etme</t>
        </is>
      </c>
      <c r="H4" s="4" t="inlineStr">
        <is>
          <t>mektedir ve</t>
        </is>
      </c>
      <c r="I4" s="4" t="inlineStr">
        <is>
          <t>bu verilerin tam vey</t>
        </is>
      </c>
      <c r="J4" s="4" t="inlineStr">
        <is>
          <t>a doğru olduğu veya</t>
        </is>
      </c>
      <c r="K4" s="4" t="inlineStr">
        <is>
          <t>yanıltıcı olmadığına</t>
        </is>
      </c>
    </row>
    <row r="5">
      <c r="A5" s="4" t="inlineStr">
        <is>
          <t>dair herhangi bir taahh</t>
        </is>
      </c>
      <c r="B5" s="4" t="inlineStr">
        <is>
          <t>ütte bulunmamakt</t>
        </is>
      </c>
      <c r="C5" s="4" t="inlineStr">
        <is>
          <t>adır.</t>
        </is>
      </c>
    </row>
    <row r="7">
      <c r="A7" s="4" t="inlineStr">
        <is>
          <t>Burada yer alan veriler</t>
        </is>
      </c>
      <c r="B7" s="4" t="inlineStr">
        <is>
          <t>yatırımcıları Pegasus</t>
        </is>
      </c>
      <c r="C7" s="4" t="inlineStr">
        <is>
          <t>’un faaliyet so</t>
        </is>
      </c>
      <c r="D7" s="4" t="inlineStr">
        <is>
          <t>nuçları, hedef v</t>
        </is>
      </c>
      <c r="E7" s="4" t="inlineStr">
        <is>
          <t>e beklent</t>
        </is>
      </c>
      <c r="F7" s="4" t="inlineStr">
        <is>
          <t>ileri hakkında</t>
        </is>
      </c>
      <c r="G7" s="4" t="inlineStr">
        <is>
          <t>doğru,</t>
        </is>
      </c>
      <c r="H7" s="4" t="inlineStr">
        <is>
          <t>açık ve eşit</t>
        </is>
      </c>
      <c r="I7" s="4" t="inlineStr">
        <is>
          <t>koşullarda bilgilendi</t>
        </is>
      </c>
      <c r="J7" s="4" t="inlineStr">
        <is>
          <t>rme amacıyla hazırla</t>
        </is>
      </c>
      <c r="K7" s="4" t="inlineStr">
        <is>
          <t>nmış olup herhangi</t>
        </is>
      </c>
    </row>
    <row r="8">
      <c r="A8" s="4" t="inlineStr">
        <is>
          <t>bir yatırım tavsiyesi vey</t>
        </is>
      </c>
      <c r="B8" s="4" t="inlineStr">
        <is>
          <t>a Pegasus tarafında</t>
        </is>
      </c>
      <c r="C8" s="4" t="inlineStr">
        <is>
          <t>n ihraç edilmiş</t>
        </is>
      </c>
      <c r="D8" s="4" t="inlineStr">
        <is>
          <t>sermaye piyas</t>
        </is>
      </c>
      <c r="E8" s="4" t="inlineStr">
        <is>
          <t>ası araçlar</t>
        </is>
      </c>
      <c r="F8" s="4" t="inlineStr">
        <is>
          <t>ına ilişkin bir i</t>
        </is>
      </c>
      <c r="G8" s="4" t="inlineStr">
        <is>
          <t>cap vey</t>
        </is>
      </c>
      <c r="H8" s="4" t="inlineStr">
        <is>
          <t>a icaba dav</t>
        </is>
      </c>
      <c r="I8" s="4" t="inlineStr">
        <is>
          <t>et oluşturmamaktad</t>
        </is>
      </c>
      <c r="J8" s="4" t="inlineStr">
        <is>
          <t>ır. Yatırımcıların yatı</t>
        </is>
      </c>
      <c r="K8" s="4" t="inlineStr">
        <is>
          <t>rım kararlarını farklı</t>
        </is>
      </c>
    </row>
    <row r="9">
      <c r="A9" s="4" t="inlineStr">
        <is>
          <t>kaynaklardan erişimler</t>
        </is>
      </c>
      <c r="B9" s="4" t="inlineStr">
        <is>
          <t>ine sunulan ve yatı</t>
        </is>
      </c>
      <c r="C9" s="4" t="inlineStr">
        <is>
          <t>rım kararların</t>
        </is>
      </c>
      <c r="D9" s="4" t="inlineStr">
        <is>
          <t>ı etkileyebilec</t>
        </is>
      </c>
      <c r="E9" s="4" t="inlineStr">
        <is>
          <t>ek diğer b</t>
        </is>
      </c>
      <c r="F9" s="4" t="inlineStr">
        <is>
          <t>ilgi, olay ve d</t>
        </is>
      </c>
      <c r="G9" s="4" t="inlineStr">
        <is>
          <t>uruml</t>
        </is>
      </c>
      <c r="H9" s="4" t="inlineStr">
        <is>
          <t>arın değerl</t>
        </is>
      </c>
      <c r="I9" s="4" t="inlineStr">
        <is>
          <t>endirilmesi doğrult</t>
        </is>
      </c>
      <c r="J9" s="4" t="inlineStr">
        <is>
          <t>usunda oluşturmala</t>
        </is>
      </c>
      <c r="K9" s="4" t="inlineStr">
        <is>
          <t>rı gerekmektedir.</t>
        </is>
      </c>
    </row>
    <row r="11">
      <c r="A11" s="4" t="inlineStr">
        <is>
          <t>Pegasus tarafından haz</t>
        </is>
      </c>
      <c r="B11" s="4" t="inlineStr">
        <is>
          <t>ırlanan yatırımcı bilg</t>
        </is>
      </c>
      <c r="C11" s="4" t="inlineStr">
        <is>
          <t>ilendirme bel</t>
        </is>
      </c>
      <c r="D11" s="4" t="inlineStr">
        <is>
          <t>geleri geleceğe</t>
        </is>
      </c>
      <c r="E11" s="4" t="inlineStr">
        <is>
          <t>yönelik he</t>
        </is>
      </c>
      <c r="F11" s="4" t="inlineStr">
        <is>
          <t>def veya bekl</t>
        </is>
      </c>
      <c r="G11" s="4" t="inlineStr">
        <is>
          <t>entiler</t>
        </is>
      </c>
      <c r="H11" s="4" t="inlineStr">
        <is>
          <t>içerebilir. B</t>
        </is>
      </c>
      <c r="I11" s="4" t="inlineStr">
        <is>
          <t>u hedef ve beklentil</t>
        </is>
      </c>
      <c r="J11" s="4" t="inlineStr">
        <is>
          <t>er bu başlık ile veya</t>
        </is>
      </c>
      <c r="K11" s="4" t="inlineStr">
        <is>
          <t>“öngörülmektedir”,</t>
        </is>
      </c>
    </row>
    <row r="12">
      <c r="A12" s="4" t="inlineStr">
        <is>
          <t>“düşünülmektedir”, “ta</t>
        </is>
      </c>
      <c r="B12" s="4" t="inlineStr">
        <is>
          <t>hmin edilmektedir”,</t>
        </is>
      </c>
      <c r="C12" s="4" t="inlineStr">
        <is>
          <t>“beklenmekt</t>
        </is>
      </c>
      <c r="D12" s="4" t="inlineStr">
        <is>
          <t>edir” ve benzer</t>
        </is>
      </c>
      <c r="E12" s="4" t="inlineStr">
        <is>
          <t>ifadeler il</t>
        </is>
      </c>
      <c r="F12" s="4" t="inlineStr">
        <is>
          <t>e veya gelece</t>
        </is>
      </c>
      <c r="G12" s="4" t="inlineStr">
        <is>
          <t>k zam</t>
        </is>
      </c>
      <c r="H12" s="4" t="inlineStr">
        <is>
          <t>an kipi kulla</t>
        </is>
      </c>
      <c r="I12" s="4" t="inlineStr">
        <is>
          <t>nılarak paylaşılabilir</t>
        </is>
      </c>
      <c r="J12" s="4" t="inlineStr">
        <is>
          <t>. Geleceğe yönelik h</t>
        </is>
      </c>
      <c r="K12" s="4" t="inlineStr">
        <is>
          <t>edef ve beklentiler</t>
        </is>
      </c>
    </row>
    <row r="13">
      <c r="A13" s="4" t="inlineStr">
        <is>
          <t>Pegasus’un operasyon</t>
        </is>
      </c>
      <c r="B13" s="4" t="inlineStr">
        <is>
          <t>el ve mali performan</t>
        </is>
      </c>
      <c r="C13" s="4" t="inlineStr">
        <is>
          <t>sı, büyüme ve</t>
        </is>
      </c>
      <c r="D13" s="4" t="inlineStr">
        <is>
          <t>stratejisine ve</t>
        </is>
      </c>
      <c r="E13" s="4" t="inlineStr">
        <is>
          <t>Pegasus Y</t>
        </is>
      </c>
      <c r="F13" s="4" t="inlineStr">
        <is>
          <t>önetiminin ge</t>
        </is>
      </c>
      <c r="G13" s="4" t="inlineStr">
        <is>
          <t>leceğe</t>
        </is>
      </c>
      <c r="H13" s="4" t="inlineStr">
        <is>
          <t>yönelik pla</t>
        </is>
      </c>
      <c r="I13" s="4" t="inlineStr">
        <is>
          <t>nlama ve hedeflerin</t>
        </is>
      </c>
      <c r="J13" s="4" t="inlineStr">
        <is>
          <t>e ilişkin olabilir. Gel</t>
        </is>
      </c>
      <c r="K13" s="4" t="inlineStr">
        <is>
          <t>eceğe yönelik hedef</t>
        </is>
      </c>
    </row>
    <row r="14">
      <c r="A14" s="4" t="inlineStr">
        <is>
          <t>ve beklentilere ilişkin a</t>
        </is>
      </c>
      <c r="B14" s="4" t="inlineStr">
        <is>
          <t>çıklamalar henüz ge</t>
        </is>
      </c>
      <c r="C14" s="4" t="inlineStr">
        <is>
          <t>rçekleşmemiş</t>
        </is>
      </c>
      <c r="D14" s="4" t="inlineStr">
        <is>
          <t>konulara ilişkin</t>
        </is>
      </c>
      <c r="E14" s="4" t="inlineStr">
        <is>
          <t>dir. Gelec</t>
        </is>
      </c>
      <c r="F14" s="4" t="inlineStr">
        <is>
          <t>eğe yönelik he</t>
        </is>
      </c>
      <c r="G14" s="4" t="inlineStr">
        <is>
          <t>def ve</t>
        </is>
      </c>
      <c r="H14" s="4" t="inlineStr">
        <is>
          <t>beklentiler</t>
        </is>
      </c>
      <c r="I14" s="4" t="inlineStr">
        <is>
          <t>makul varsayım ve t</t>
        </is>
      </c>
      <c r="J14" s="4" t="inlineStr">
        <is>
          <t>ahminlere dayandır</t>
        </is>
      </c>
      <c r="K14" s="4" t="inlineStr">
        <is>
          <t>ılır. Bununla birlikte</t>
        </is>
      </c>
    </row>
    <row r="15">
      <c r="A15" s="4" t="inlineStr">
        <is>
          <t>bu hedef ve beklentiler</t>
        </is>
      </c>
      <c r="B15" s="4" t="inlineStr">
        <is>
          <t>belirsizlik ve riskler i</t>
        </is>
      </c>
      <c r="C15" s="4" t="inlineStr">
        <is>
          <t>çermekte olup</t>
        </is>
      </c>
      <c r="D15" s="4" t="inlineStr">
        <is>
          <t>, duyurunun ya</t>
        </is>
      </c>
      <c r="E15" s="4" t="inlineStr">
        <is>
          <t>pıldığı tari</t>
        </is>
      </c>
      <c r="F15" s="4" t="inlineStr">
        <is>
          <t>h itibarıyla ge</t>
        </is>
      </c>
      <c r="G15" s="4" t="inlineStr">
        <is>
          <t>çerli he</t>
        </is>
      </c>
      <c r="H15" s="4" t="inlineStr">
        <is>
          <t>def ve bekl</t>
        </is>
      </c>
      <c r="I15" s="4" t="inlineStr">
        <is>
          <t>entileri ifade etmekte</t>
        </is>
      </c>
      <c r="J15" s="4" t="inlineStr">
        <is>
          <t>dir. Birçok etken gel</t>
        </is>
      </c>
      <c r="K15" s="4" t="inlineStr">
        <is>
          <t>eceğe yönelik hedef</t>
        </is>
      </c>
    </row>
    <row r="16">
      <c r="A16" s="4" t="inlineStr">
        <is>
          <t>ve beklentilerin öngör</t>
        </is>
      </c>
      <c r="B16" s="4" t="inlineStr">
        <is>
          <t>ülenden önemli ölç</t>
        </is>
      </c>
      <c r="C16" s="4" t="inlineStr">
        <is>
          <t>üde farklı so</t>
        </is>
      </c>
      <c r="D16" s="4" t="inlineStr">
        <is>
          <t>nuçlanmasına y</t>
        </is>
      </c>
      <c r="E16" s="4" t="inlineStr">
        <is>
          <t>ol açabilir</t>
        </is>
      </c>
      <c r="F16" s="4" t="inlineStr">
        <is>
          <t>.</t>
        </is>
      </c>
    </row>
    <row r="18">
      <c r="A18" s="4" t="inlineStr">
        <is>
          <t>Pegasus geleceğe yöne</t>
        </is>
      </c>
      <c r="B18" s="4" t="inlineStr">
        <is>
          <t>lik hedef ve beklenti</t>
        </is>
      </c>
      <c r="C18" s="4" t="inlineStr">
        <is>
          <t>ler de dahil ol</t>
        </is>
      </c>
      <c r="D18" s="4" t="inlineStr">
        <is>
          <t>mak üzere bu be</t>
        </is>
      </c>
      <c r="E18" s="4" t="inlineStr">
        <is>
          <t>lgede yer</t>
        </is>
      </c>
      <c r="F18" s="4" t="inlineStr">
        <is>
          <t>alan beyanlar</t>
        </is>
      </c>
      <c r="G18" s="4" t="inlineStr">
        <is>
          <t>ın ilgili</t>
        </is>
      </c>
      <c r="H18" s="4" t="inlineStr">
        <is>
          <t>sermaye pi</t>
        </is>
      </c>
      <c r="I18" s="4" t="inlineStr">
        <is>
          <t>yasası mevzuatından</t>
        </is>
      </c>
      <c r="J18" s="4" t="inlineStr">
        <is>
          <t>doğan yükümlülükle</t>
        </is>
      </c>
      <c r="K18" s="4" t="inlineStr">
        <is>
          <t>rin gereği haricinde</t>
        </is>
      </c>
    </row>
    <row r="19">
      <c r="A19" s="4" t="inlineStr">
        <is>
          <t>güncel tutulması, günc</t>
        </is>
      </c>
      <c r="B19" s="4" t="inlineStr">
        <is>
          <t>ellenmesi, yenilenm</t>
        </is>
      </c>
      <c r="C19" s="4" t="inlineStr">
        <is>
          <t>esi veya düze</t>
        </is>
      </c>
      <c r="D19" s="4" t="inlineStr">
        <is>
          <t>nli olarak bildir</t>
        </is>
      </c>
      <c r="E19" s="4" t="inlineStr">
        <is>
          <t>imi konus</t>
        </is>
      </c>
      <c r="F19" s="4" t="inlineStr">
        <is>
          <t>unda herhan</t>
        </is>
      </c>
      <c r="G19" s="4" t="inlineStr">
        <is>
          <t>gi bir t</t>
        </is>
      </c>
      <c r="H19" s="4" t="inlineStr">
        <is>
          <t>aahhütte bu</t>
        </is>
      </c>
      <c r="I19" s="4" t="inlineStr">
        <is>
          <t>lunmamaktadır. Bu</t>
        </is>
      </c>
      <c r="J19" s="4" t="inlineStr">
        <is>
          <t>belgeyi herhangi bi</t>
        </is>
      </c>
      <c r="K19" s="4" t="inlineStr">
        <is>
          <t>r şekilde kullanarak</t>
        </is>
      </c>
    </row>
    <row r="20">
      <c r="A20" s="4" t="inlineStr">
        <is>
          <t>burada yer verilen uya</t>
        </is>
      </c>
      <c r="B20" s="4" t="inlineStr">
        <is>
          <t>rıları okuduğunuz,</t>
        </is>
      </c>
      <c r="C20" s="4" t="inlineStr">
        <is>
          <t>anladığınız ve</t>
        </is>
      </c>
      <c r="D20" s="4" t="inlineStr">
        <is>
          <t>kabul ettiğiniz</t>
        </is>
      </c>
      <c r="E20" s="4" t="inlineStr">
        <is>
          <t>varsayılm</t>
        </is>
      </c>
      <c r="F20" s="4" t="inlineStr">
        <is>
          <t>aktadır.</t>
        </is>
      </c>
    </row>
    <row r="22">
      <c r="A22" s="2" t="inlineStr">
        <is>
          <t>Genel (Public)</t>
        </is>
      </c>
    </row>
  </sheetData>
  <mergeCells count="1">
    <mergeCell ref="A22:K2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85"/>
  <sheetViews>
    <sheetView workbookViewId="0">
      <selection activeCell="A1" sqref="A1"/>
    </sheetView>
  </sheetViews>
  <sheetFormatPr baseColWidth="8" defaultRowHeight="15"/>
  <cols>
    <col width="15" customWidth="1" min="1" max="1"/>
    <col width="15" customWidth="1" min="2" max="2"/>
    <col width="12" customWidth="1" min="3" max="3"/>
    <col width="15" customWidth="1" min="4" max="4"/>
    <col width="20" customWidth="1" min="5" max="5"/>
    <col width="17" customWidth="1" min="6" max="6"/>
    <col width="12" customWidth="1" min="7" max="7"/>
    <col width="12" customWidth="1" min="8" max="8"/>
    <col width="22" customWidth="1" min="9" max="9"/>
    <col width="18" customWidth="1" min="10" max="10"/>
    <col width="14" customWidth="1" min="11" max="11"/>
    <col width="29" customWidth="1" min="12" max="12"/>
    <col width="14" customWidth="1" min="13" max="13"/>
    <col width="12" customWidth="1" min="14" max="14"/>
    <col width="12" customWidth="1" min="15" max="15"/>
    <col width="17" customWidth="1" min="16" max="16"/>
  </cols>
  <sheetData>
    <row r="1">
      <c r="A1" s="4" t="inlineStr">
        <is>
          <t>P E G A S</t>
        </is>
      </c>
      <c r="B1" s="4" t="inlineStr">
        <is>
          <t>U S H</t>
        </is>
      </c>
      <c r="C1" s="4" t="inlineStr">
        <is>
          <t>A V A</t>
        </is>
      </c>
      <c r="D1" s="4" t="inlineStr">
        <is>
          <t>T A Ş</t>
        </is>
      </c>
      <c r="E1" s="4" t="inlineStr">
        <is>
          <t>I M</t>
        </is>
      </c>
      <c r="F1" s="4" t="inlineStr">
        <is>
          <t>A C I L I Ğ</t>
        </is>
      </c>
      <c r="G1" s="4" t="inlineStr">
        <is>
          <t>I A</t>
        </is>
      </c>
      <c r="H1" s="4" t="inlineStr">
        <is>
          <t>. Ş</t>
        </is>
      </c>
      <c r="I1" s="4" t="inlineStr">
        <is>
          <t>.</t>
        </is>
      </c>
    </row>
    <row r="3">
      <c r="A3" s="4" t="inlineStr">
        <is>
          <t>K A S I M</t>
        </is>
      </c>
      <c r="B3" s="5" t="n">
        <v>202</v>
      </c>
      <c r="C3" s="4" t="inlineStr">
        <is>
          <t>5 T R A</t>
        </is>
      </c>
      <c r="D3" s="4" t="inlineStr">
        <is>
          <t>F İ K</t>
        </is>
      </c>
      <c r="E3" s="4" t="inlineStr">
        <is>
          <t>S O</t>
        </is>
      </c>
      <c r="F3" s="4" t="inlineStr">
        <is>
          <t>N U Ç L A</t>
        </is>
      </c>
      <c r="G3" s="4" t="inlineStr">
        <is>
          <t>R I</t>
        </is>
      </c>
    </row>
    <row r="5">
      <c r="A5" s="4" t="inlineStr">
        <is>
          <t>A Y L I K</t>
        </is>
      </c>
      <c r="B5" s="4" t="inlineStr">
        <is>
          <t>K Ü M Ü</t>
        </is>
      </c>
      <c r="C5" s="4" t="inlineStr">
        <is>
          <t>L A T İ F</t>
        </is>
      </c>
    </row>
    <row r="7">
      <c r="A7" s="4" t="inlineStr">
        <is>
          <t>K a s ı m</t>
        </is>
      </c>
      <c r="B7" s="4" t="inlineStr">
        <is>
          <t>K a s ı m ' 2</t>
        </is>
      </c>
      <c r="C7" s="4" t="inlineStr">
        <is>
          <t>5 / ' 2 4</t>
        </is>
      </c>
      <c r="D7" s="4" t="inlineStr">
        <is>
          <t>O c</t>
        </is>
      </c>
      <c r="E7" s="4" t="inlineStr">
        <is>
          <t>a . - K a s</t>
        </is>
      </c>
      <c r="F7" s="4" t="inlineStr">
        <is>
          <t>. O c a . -</t>
        </is>
      </c>
      <c r="G7" s="4" t="inlineStr">
        <is>
          <t>K a s .</t>
        </is>
      </c>
      <c r="H7" s="4" t="inlineStr">
        <is>
          <t>' 2 5</t>
        </is>
      </c>
      <c r="I7" s="4" t="inlineStr">
        <is>
          <t>/ '</t>
        </is>
      </c>
    </row>
    <row r="9">
      <c r="A9" s="4" t="inlineStr">
        <is>
          <t>2 0 2 5</t>
        </is>
      </c>
      <c r="B9" s="7" t="n">
        <v>20.24</v>
      </c>
      <c r="C9" s="4" t="inlineStr">
        <is>
          <t>D e ğ .</t>
        </is>
      </c>
      <c r="D9" s="5" t="n">
        <v>2</v>
      </c>
      <c r="E9" s="5" t="n">
        <v>25</v>
      </c>
      <c r="F9" s="5" t="n">
        <v>202</v>
      </c>
      <c r="G9" s="5" t="n">
        <v>4</v>
      </c>
      <c r="H9" s="4" t="inlineStr">
        <is>
          <t>%</t>
        </is>
      </c>
      <c r="I9" s="4" t="inlineStr">
        <is>
          <t>D e</t>
        </is>
      </c>
    </row>
    <row r="11">
      <c r="A11" s="4" t="inlineStr">
        <is>
          <t>M</t>
        </is>
      </c>
      <c r="B11" s="4" t="inlineStr">
        <is>
          <t>i s a</t>
        </is>
      </c>
      <c r="C11" s="4" t="inlineStr">
        <is>
          <t>f i r</t>
        </is>
      </c>
      <c r="D11" s="4" t="inlineStr">
        <is>
          <t>s a y ı s ı ,</t>
        </is>
      </c>
      <c r="E11" s="4" t="inlineStr">
        <is>
          <t>m</t>
        </is>
      </c>
      <c r="F11" s="4" t="inlineStr">
        <is>
          <t>n</t>
        </is>
      </c>
      <c r="G11" s="6" t="n">
        <v>3.63</v>
      </c>
      <c r="H11" s="5" t="n">
        <v>3042</v>
      </c>
      <c r="I11" s="7" t="n">
        <v>0</v>
      </c>
      <c r="J11" s="5" t="n">
        <v>3</v>
      </c>
      <c r="K11" s="6" t="n">
        <v>9.640000000000001</v>
      </c>
      <c r="L11" s="6" t="n">
        <v>34.3</v>
      </c>
      <c r="M11" s="5" t="n">
        <v>8</v>
      </c>
      <c r="N11" s="5" t="n">
        <v>1</v>
      </c>
      <c r="O11" s="7" t="n">
        <v>0.05</v>
      </c>
    </row>
    <row r="13">
      <c r="A13" s="4" t="inlineStr">
        <is>
          <t>K</t>
        </is>
      </c>
      <c r="B13" s="4" t="inlineStr">
        <is>
          <t>o n</t>
        </is>
      </c>
      <c r="C13" s="4" t="inlineStr">
        <is>
          <t>m a</t>
        </is>
      </c>
      <c r="D13" s="5" t="n">
        <v>19246</v>
      </c>
      <c r="E13" s="6" t="n">
        <v>16.7041</v>
      </c>
      <c r="F13" s="7" t="n">
        <v>0.05</v>
      </c>
      <c r="G13" s="5" t="n">
        <v>21</v>
      </c>
      <c r="H13" s="5" t="n">
        <v>4483</v>
      </c>
      <c r="I13" s="6" t="n">
        <v>188.6</v>
      </c>
      <c r="J13" s="5" t="n">
        <v>81</v>
      </c>
      <c r="K13" s="5" t="n">
        <v>1</v>
      </c>
      <c r="L13" s="7" t="n">
        <v>0.04</v>
      </c>
    </row>
    <row r="15">
      <c r="A15" s="4" t="inlineStr">
        <is>
          <t>K</t>
        </is>
      </c>
      <c r="B15" s="4" t="inlineStr">
        <is>
          <t>o lt u</t>
        </is>
      </c>
      <c r="C15" s="4" t="inlineStr">
        <is>
          <t>k s</t>
        </is>
      </c>
      <c r="D15" s="4" t="inlineStr">
        <is>
          <t>a y ı s ı ,</t>
        </is>
      </c>
      <c r="E15" s="4" t="inlineStr">
        <is>
          <t>m n</t>
        </is>
      </c>
      <c r="F15" s="6" t="n">
        <v>4.05</v>
      </c>
      <c r="G15" s="5" t="n">
        <v>3491</v>
      </c>
      <c r="H15" s="7" t="n">
        <v>0.06</v>
      </c>
      <c r="I15" s="5" t="n">
        <v>4</v>
      </c>
      <c r="J15" s="6" t="n">
        <v>5.18</v>
      </c>
      <c r="K15" s="6" t="n">
        <v>39.1</v>
      </c>
      <c r="L15" s="5" t="n">
        <v>1</v>
      </c>
      <c r="M15" s="5" t="n">
        <v>1</v>
      </c>
      <c r="N15" s="7" t="n">
        <v>0.06</v>
      </c>
    </row>
    <row r="17">
      <c r="A17" s="4" t="inlineStr">
        <is>
          <t>T o p l a</t>
        </is>
      </c>
      <c r="B17" s="4" t="inlineStr">
        <is>
          <t>m</t>
        </is>
      </c>
    </row>
    <row r="18">
      <c r="A18" s="4" t="inlineStr">
        <is>
          <t>D</t>
        </is>
      </c>
      <c r="B18" s="4" t="inlineStr">
        <is>
          <t>o l u</t>
        </is>
      </c>
      <c r="C18" s="4" t="inlineStr">
        <is>
          <t>l u k</t>
        </is>
      </c>
      <c r="D18" s="4" t="inlineStr">
        <is>
          <t>O r a n ı</t>
        </is>
      </c>
      <c r="E18" s="7" t="n">
        <v>0.898</v>
      </c>
      <c r="F18" s="7" t="n">
        <v>0.8702</v>
      </c>
      <c r="G18" s="7" t="n">
        <v>0.008</v>
      </c>
      <c r="H18" s="5" t="n">
        <v>8</v>
      </c>
      <c r="I18" s="7" t="n">
        <v>0.077</v>
      </c>
      <c r="J18" s="6" t="n">
        <v>87.90000000000001</v>
      </c>
      <c r="K18" s="4" t="inlineStr">
        <is>
          <t>%</t>
        </is>
      </c>
      <c r="L18" s="5" t="n">
        <v>0</v>
      </c>
      <c r="M18" s="6" t="n">
        <v>0.2</v>
      </c>
    </row>
    <row r="20">
      <c r="A20" s="4" t="inlineStr">
        <is>
          <t>A</t>
        </is>
      </c>
      <c r="B20" s="4" t="inlineStr">
        <is>
          <t>S K</t>
        </is>
      </c>
      <c r="C20" s="4" t="inlineStr">
        <is>
          <t>( m l</t>
        </is>
      </c>
      <c r="D20" s="4" t="inlineStr">
        <is>
          <t>n k m )</t>
        </is>
      </c>
      <c r="E20" s="5" t="n">
        <v>6256</v>
      </c>
      <c r="F20" s="6" t="n">
        <v>5.3001</v>
      </c>
      <c r="G20" s="7" t="n">
        <v>0.08</v>
      </c>
      <c r="H20" s="5" t="n">
        <v>7</v>
      </c>
      <c r="I20" s="5" t="n">
        <v>1862</v>
      </c>
      <c r="J20" s="6" t="n">
        <v>61.2</v>
      </c>
      <c r="K20" s="5" t="n">
        <v>87</v>
      </c>
      <c r="L20" s="5" t="n">
        <v>1</v>
      </c>
      <c r="M20" s="7" t="n">
        <v>0.07000000000000001</v>
      </c>
    </row>
    <row r="22">
      <c r="A22" s="4" t="inlineStr">
        <is>
          <t>K</t>
        </is>
      </c>
      <c r="B22" s="4" t="inlineStr">
        <is>
          <t>o n</t>
        </is>
      </c>
      <c r="C22" s="4" t="inlineStr">
        <is>
          <t>m a</t>
        </is>
      </c>
      <c r="D22" s="4" t="inlineStr">
        <is>
          <t>b a ş ı n a</t>
        </is>
      </c>
      <c r="E22" s="4" t="inlineStr">
        <is>
          <t>M i</t>
        </is>
      </c>
      <c r="F22" s="4" t="inlineStr">
        <is>
          <t>s a</t>
        </is>
      </c>
      <c r="G22" s="4" t="inlineStr">
        <is>
          <t>f i</t>
        </is>
      </c>
      <c r="H22" s="4" t="inlineStr">
        <is>
          <t>r</t>
        </is>
      </c>
      <c r="I22" s="5" t="n">
        <v>189</v>
      </c>
      <c r="J22" s="5" t="n">
        <v>182</v>
      </c>
      <c r="K22" s="7" t="n">
        <v>0.04</v>
      </c>
      <c r="L22" s="5" t="n">
        <v>185</v>
      </c>
      <c r="M22" s="5" t="n">
        <v>18</v>
      </c>
      <c r="N22" s="5" t="n">
        <v>2</v>
      </c>
      <c r="O22" s="7" t="n">
        <v>0.01</v>
      </c>
    </row>
    <row r="24">
      <c r="A24" s="4" t="inlineStr">
        <is>
          <t>M</t>
        </is>
      </c>
      <c r="B24" s="4" t="inlineStr">
        <is>
          <t>i s a</t>
        </is>
      </c>
      <c r="C24" s="4" t="inlineStr">
        <is>
          <t>f i r</t>
        </is>
      </c>
      <c r="D24" s="4" t="inlineStr">
        <is>
          <t>s a y ı s ı ,</t>
        </is>
      </c>
      <c r="E24" s="4" t="inlineStr">
        <is>
          <t>m</t>
        </is>
      </c>
      <c r="F24" s="4" t="inlineStr">
        <is>
          <t>n</t>
        </is>
      </c>
      <c r="G24" s="6" t="n">
        <v>1.37</v>
      </c>
      <c r="H24" s="5" t="n">
        <v>1181</v>
      </c>
      <c r="I24" s="7" t="n">
        <v>0.06</v>
      </c>
      <c r="J24" s="5" t="n">
        <v>1</v>
      </c>
      <c r="K24" s="6" t="n">
        <v>4.19</v>
      </c>
      <c r="L24" s="6" t="n">
        <v>12.8</v>
      </c>
      <c r="M24" s="5" t="n">
        <v>7</v>
      </c>
      <c r="N24" s="5" t="n">
        <v>1</v>
      </c>
      <c r="O24" s="7" t="n">
        <v>0</v>
      </c>
    </row>
    <row r="26">
      <c r="A26" s="4" t="inlineStr">
        <is>
          <t>K</t>
        </is>
      </c>
      <c r="B26" s="4" t="inlineStr">
        <is>
          <t>o n</t>
        </is>
      </c>
      <c r="C26" s="4" t="inlineStr">
        <is>
          <t>m a</t>
        </is>
      </c>
      <c r="D26" s="5" t="n">
        <v>6887</v>
      </c>
      <c r="E26" s="6" t="n">
        <v>6.1901</v>
      </c>
      <c r="F26" s="7" t="n">
        <v>0.01</v>
      </c>
      <c r="G26" s="5" t="n">
        <v>7</v>
      </c>
      <c r="H26" s="5" t="n">
        <v>2151</v>
      </c>
      <c r="I26" s="6" t="n">
        <v>67.8</v>
      </c>
      <c r="J26" s="5" t="n">
        <v>10</v>
      </c>
      <c r="K26" s="7" t="n">
        <v>0.06</v>
      </c>
    </row>
    <row r="28">
      <c r="A28" s="4" t="inlineStr">
        <is>
          <t>K</t>
        </is>
      </c>
      <c r="B28" s="4" t="inlineStr">
        <is>
          <t>o lt u</t>
        </is>
      </c>
      <c r="C28" s="4" t="inlineStr">
        <is>
          <t>k s</t>
        </is>
      </c>
      <c r="D28" s="4" t="inlineStr">
        <is>
          <t>a y ı s ı ,</t>
        </is>
      </c>
      <c r="E28" s="4" t="inlineStr">
        <is>
          <t>m n</t>
        </is>
      </c>
      <c r="F28" s="6" t="n">
        <v>1.46</v>
      </c>
      <c r="G28" s="5" t="n">
        <v>1301</v>
      </c>
      <c r="H28" s="7" t="n">
        <v>0.02</v>
      </c>
      <c r="I28" s="5" t="n">
        <v>1</v>
      </c>
      <c r="J28" s="6" t="n">
        <v>5.44</v>
      </c>
      <c r="K28" s="5" t="n">
        <v>14</v>
      </c>
      <c r="L28" s="5" t="n">
        <v>4</v>
      </c>
      <c r="M28" s="5" t="n">
        <v>1</v>
      </c>
      <c r="N28" s="7" t="n">
        <v>0</v>
      </c>
    </row>
    <row r="30">
      <c r="A30" s="4" t="inlineStr">
        <is>
          <t>İ ç H a t</t>
        </is>
      </c>
      <c r="B30" s="4" t="inlineStr">
        <is>
          <t>l a r</t>
        </is>
      </c>
    </row>
    <row r="31">
      <c r="A31" s="4" t="inlineStr">
        <is>
          <t>D</t>
        </is>
      </c>
      <c r="B31" s="4" t="inlineStr">
        <is>
          <t>o l u</t>
        </is>
      </c>
      <c r="C31" s="4" t="inlineStr">
        <is>
          <t>l u k</t>
        </is>
      </c>
      <c r="D31" s="4" t="inlineStr">
        <is>
          <t>O r a n ı</t>
        </is>
      </c>
      <c r="E31" s="7" t="n">
        <v>0.9420000000000001</v>
      </c>
      <c r="F31" s="7" t="n">
        <v>0.9123</v>
      </c>
      <c r="G31" s="7" t="n">
        <v>0</v>
      </c>
      <c r="H31" s="5" t="n">
        <v>9</v>
      </c>
      <c r="I31" s="7" t="n">
        <v>0.019</v>
      </c>
      <c r="J31" s="6" t="n">
        <v>91.7</v>
      </c>
      <c r="K31" s="4" t="inlineStr">
        <is>
          <t>%</t>
        </is>
      </c>
      <c r="L31" s="5" t="n">
        <v>0</v>
      </c>
      <c r="M31" s="6" t="n">
        <v>0.2</v>
      </c>
    </row>
    <row r="33">
      <c r="A33" s="4" t="inlineStr">
        <is>
          <t>A</t>
        </is>
      </c>
      <c r="B33" s="4" t="inlineStr">
        <is>
          <t>S K</t>
        </is>
      </c>
      <c r="C33" s="4" t="inlineStr">
        <is>
          <t>( m l</t>
        </is>
      </c>
      <c r="D33" s="4" t="inlineStr">
        <is>
          <t>n k m )</t>
        </is>
      </c>
      <c r="E33" s="5" t="n">
        <v>1136</v>
      </c>
      <c r="F33" s="5" t="n">
        <v>9741</v>
      </c>
      <c r="G33" s="7" t="n">
        <v>0.07000000000000001</v>
      </c>
      <c r="H33" s="5" t="n">
        <v>1</v>
      </c>
      <c r="I33" s="5" t="n">
        <v>1776</v>
      </c>
      <c r="J33" s="6" t="n">
        <v>10.3</v>
      </c>
      <c r="K33" s="5" t="n">
        <v>85</v>
      </c>
      <c r="L33" s="5" t="n">
        <v>1</v>
      </c>
      <c r="M33" s="7" t="n">
        <v>0.03</v>
      </c>
    </row>
    <row r="35">
      <c r="A35" s="4" t="inlineStr">
        <is>
          <t>K</t>
        </is>
      </c>
      <c r="B35" s="4" t="inlineStr">
        <is>
          <t>o n</t>
        </is>
      </c>
      <c r="C35" s="4" t="inlineStr">
        <is>
          <t>m a</t>
        </is>
      </c>
      <c r="D35" s="4" t="inlineStr">
        <is>
          <t>b a ş ı n a</t>
        </is>
      </c>
      <c r="E35" s="4" t="inlineStr">
        <is>
          <t>M i</t>
        </is>
      </c>
      <c r="F35" s="4" t="inlineStr">
        <is>
          <t>s a</t>
        </is>
      </c>
      <c r="G35" s="4" t="inlineStr">
        <is>
          <t>f i</t>
        </is>
      </c>
      <c r="H35" s="4" t="inlineStr">
        <is>
          <t>r</t>
        </is>
      </c>
      <c r="I35" s="5" t="n">
        <v>199</v>
      </c>
      <c r="J35" s="5" t="n">
        <v>191</v>
      </c>
      <c r="K35" s="7" t="n">
        <v>0.04</v>
      </c>
      <c r="L35" s="5" t="n">
        <v>197</v>
      </c>
      <c r="M35" s="5" t="n">
        <v>19</v>
      </c>
      <c r="N35" s="5" t="n">
        <v>0</v>
      </c>
      <c r="O35" s="7" t="n">
        <v>0.04</v>
      </c>
    </row>
    <row r="37">
      <c r="A37" s="4" t="inlineStr">
        <is>
          <t>M</t>
        </is>
      </c>
      <c r="B37" s="4" t="inlineStr">
        <is>
          <t>i s a</t>
        </is>
      </c>
      <c r="C37" s="4" t="inlineStr">
        <is>
          <t>f i r</t>
        </is>
      </c>
      <c r="D37" s="4" t="inlineStr">
        <is>
          <t>s a y ı s ı ,</t>
        </is>
      </c>
      <c r="E37" s="4" t="inlineStr">
        <is>
          <t>m</t>
        </is>
      </c>
      <c r="F37" s="4" t="inlineStr">
        <is>
          <t>n</t>
        </is>
      </c>
      <c r="G37" s="6" t="n">
        <v>2.26</v>
      </c>
      <c r="H37" s="5" t="n">
        <v>1862</v>
      </c>
      <c r="I37" s="7" t="n">
        <v>0.02</v>
      </c>
      <c r="J37" s="5" t="n">
        <v>2</v>
      </c>
      <c r="K37" s="6" t="n">
        <v>5.45</v>
      </c>
      <c r="L37" s="6" t="n">
        <v>21.5</v>
      </c>
      <c r="M37" s="5" t="n">
        <v>1</v>
      </c>
      <c r="N37" s="5" t="n">
        <v>1</v>
      </c>
      <c r="O37" s="7" t="n">
        <v>0.08</v>
      </c>
    </row>
    <row r="39">
      <c r="A39" s="4" t="inlineStr">
        <is>
          <t>K</t>
        </is>
      </c>
      <c r="B39" s="4" t="inlineStr">
        <is>
          <t>o n</t>
        </is>
      </c>
      <c r="C39" s="4" t="inlineStr">
        <is>
          <t>m a</t>
        </is>
      </c>
      <c r="D39" s="5" t="n">
        <v>12359</v>
      </c>
      <c r="E39" s="6" t="n">
        <v>10.5141</v>
      </c>
      <c r="F39" s="7" t="n">
        <v>0.08</v>
      </c>
      <c r="G39" s="5" t="n">
        <v>14</v>
      </c>
      <c r="H39" s="5" t="n">
        <v>2332</v>
      </c>
      <c r="I39" s="6" t="n">
        <v>120.8</v>
      </c>
      <c r="J39" s="5" t="n">
        <v>71</v>
      </c>
      <c r="K39" s="5" t="n">
        <v>1</v>
      </c>
      <c r="L39" s="7" t="n">
        <v>0.08</v>
      </c>
    </row>
    <row r="41">
      <c r="A41" s="4" t="inlineStr">
        <is>
          <t>K</t>
        </is>
      </c>
      <c r="B41" s="4" t="inlineStr">
        <is>
          <t>o lt u</t>
        </is>
      </c>
      <c r="C41" s="4" t="inlineStr">
        <is>
          <t>k s</t>
        </is>
      </c>
      <c r="D41" s="4" t="inlineStr">
        <is>
          <t>a y ı s ı ,</t>
        </is>
      </c>
      <c r="E41" s="4" t="inlineStr">
        <is>
          <t>m n</t>
        </is>
      </c>
      <c r="F41" s="6" t="n">
        <v>2.59</v>
      </c>
      <c r="G41" s="5" t="n">
        <v>2201</v>
      </c>
      <c r="H41" s="7" t="n">
        <v>0.08</v>
      </c>
      <c r="I41" s="5" t="n">
        <v>2</v>
      </c>
      <c r="J41" s="6" t="n">
        <v>9.74</v>
      </c>
      <c r="K41" s="5" t="n">
        <v>25</v>
      </c>
      <c r="L41" s="5" t="n">
        <v>8</v>
      </c>
      <c r="M41" s="5" t="n">
        <v>1</v>
      </c>
      <c r="N41" s="7" t="n">
        <v>0.09</v>
      </c>
    </row>
    <row r="43">
      <c r="A43" s="4" t="inlineStr">
        <is>
          <t>D ı ş H a</t>
        </is>
      </c>
      <c r="B43" s="4" t="inlineStr">
        <is>
          <t>t l a r *</t>
        </is>
      </c>
    </row>
    <row r="44">
      <c r="A44" s="4" t="inlineStr">
        <is>
          <t>D</t>
        </is>
      </c>
      <c r="B44" s="4" t="inlineStr">
        <is>
          <t>o l u</t>
        </is>
      </c>
      <c r="C44" s="4" t="inlineStr">
        <is>
          <t>l u k</t>
        </is>
      </c>
      <c r="D44" s="4" t="inlineStr">
        <is>
          <t>O r a n ı</t>
        </is>
      </c>
      <c r="E44" s="7" t="n">
        <v>0.873</v>
      </c>
      <c r="F44" s="7" t="n">
        <v>0.8452</v>
      </c>
      <c r="G44" s="7" t="n">
        <v>0.008</v>
      </c>
      <c r="H44" s="5" t="n">
        <v>8</v>
      </c>
      <c r="I44" s="7" t="n">
        <v>0.05599999999999999</v>
      </c>
      <c r="J44" s="6" t="n">
        <v>85.8</v>
      </c>
      <c r="K44" s="4" t="inlineStr">
        <is>
          <t>%</t>
        </is>
      </c>
      <c r="L44" s="5" t="n">
        <v>0</v>
      </c>
      <c r="M44" s="6" t="n">
        <v>0.2</v>
      </c>
    </row>
    <row r="46">
      <c r="A46" s="4" t="inlineStr">
        <is>
          <t>A</t>
        </is>
      </c>
      <c r="B46" s="4" t="inlineStr">
        <is>
          <t>S K</t>
        </is>
      </c>
      <c r="C46" s="4" t="inlineStr">
        <is>
          <t>( m l</t>
        </is>
      </c>
      <c r="D46" s="4" t="inlineStr">
        <is>
          <t>n k m )</t>
        </is>
      </c>
      <c r="E46" s="5" t="n">
        <v>5120</v>
      </c>
      <c r="F46" s="6" t="n">
        <v>4.3261</v>
      </c>
      <c r="G46" s="7" t="n">
        <v>0.08</v>
      </c>
      <c r="H46" s="5" t="n">
        <v>6</v>
      </c>
      <c r="I46" s="5" t="n">
        <v>86</v>
      </c>
      <c r="J46" s="6" t="n">
        <v>50.9</v>
      </c>
      <c r="K46" s="5" t="n">
        <v>2</v>
      </c>
      <c r="L46" s="5" t="n">
        <v>1</v>
      </c>
      <c r="M46" s="7" t="n">
        <v>0.08</v>
      </c>
    </row>
    <row r="48">
      <c r="A48" s="4" t="inlineStr">
        <is>
          <t>K</t>
        </is>
      </c>
      <c r="B48" s="4" t="inlineStr">
        <is>
          <t>o n</t>
        </is>
      </c>
      <c r="C48" s="4" t="inlineStr">
        <is>
          <t>m a</t>
        </is>
      </c>
      <c r="D48" s="4" t="inlineStr">
        <is>
          <t>b a ş ı n a</t>
        </is>
      </c>
      <c r="E48" s="4" t="inlineStr">
        <is>
          <t>M i</t>
        </is>
      </c>
      <c r="F48" s="4" t="inlineStr">
        <is>
          <t>s a</t>
        </is>
      </c>
      <c r="G48" s="4" t="inlineStr">
        <is>
          <t>f i</t>
        </is>
      </c>
      <c r="H48" s="4" t="inlineStr">
        <is>
          <t>r</t>
        </is>
      </c>
      <c r="I48" s="5" t="n">
        <v>183</v>
      </c>
      <c r="J48" s="5" t="n">
        <v>177</v>
      </c>
      <c r="K48" s="7" t="n">
        <v>0.04</v>
      </c>
      <c r="L48" s="5" t="n">
        <v>179</v>
      </c>
      <c r="M48" s="5" t="n">
        <v>17</v>
      </c>
      <c r="N48" s="5" t="n">
        <v>8</v>
      </c>
      <c r="O48" s="7" t="n">
        <v>0</v>
      </c>
    </row>
    <row r="50">
      <c r="A50" s="4" t="inlineStr">
        <is>
          <t>* C h a r t e</t>
        </is>
      </c>
      <c r="B50" s="4" t="inlineStr">
        <is>
          <t>r d a h i</t>
        </is>
      </c>
      <c r="C50" s="4" t="inlineStr">
        <is>
          <t>l</t>
        </is>
      </c>
    </row>
    <row r="52">
      <c r="A52" s="4" t="inlineStr">
        <is>
          <t>K a r b o</t>
        </is>
      </c>
      <c r="B52" s="4" t="inlineStr">
        <is>
          <t>n E m</t>
        </is>
      </c>
      <c r="C52" s="4" t="inlineStr">
        <is>
          <t>i s y o</t>
        </is>
      </c>
      <c r="D52" s="4" t="inlineStr">
        <is>
          <t>n u İ</t>
        </is>
      </c>
      <c r="E52" s="4" t="inlineStr">
        <is>
          <t>s t a</t>
        </is>
      </c>
      <c r="F52" s="4" t="inlineStr">
        <is>
          <t>t i s t i k l e</t>
        </is>
      </c>
      <c r="G52" s="4" t="inlineStr">
        <is>
          <t>r i</t>
        </is>
      </c>
    </row>
    <row r="54">
      <c r="A54" s="4" t="inlineStr">
        <is>
          <t>A Y L I K</t>
        </is>
      </c>
      <c r="B54" s="5" t="n">
        <v>20252</v>
      </c>
      <c r="C54" s="4" t="inlineStr">
        <is>
          <t>0 2 4 K</t>
        </is>
      </c>
      <c r="D54" s="4" t="inlineStr">
        <is>
          <t>Ü M</t>
        </is>
      </c>
      <c r="E54" s="4" t="inlineStr">
        <is>
          <t>Ü L A T</t>
        </is>
      </c>
      <c r="F54" s="4" t="inlineStr">
        <is>
          <t>İ F 2 0 2</t>
        </is>
      </c>
      <c r="G54" s="5" t="n">
        <v>5</v>
      </c>
      <c r="H54" s="5" t="n">
        <v>2</v>
      </c>
      <c r="I54" s="5" t="n">
        <v>2</v>
      </c>
    </row>
    <row r="56">
      <c r="A56" s="4" t="inlineStr">
        <is>
          <t>C O 2 g r</t>
        </is>
      </c>
      <c r="B56" s="4" t="inlineStr">
        <is>
          <t>a m / R</t>
        </is>
      </c>
      <c r="C56" s="4" t="inlineStr">
        <is>
          <t>P K</t>
        </is>
      </c>
      <c r="D56" s="4" t="inlineStr">
        <is>
          <t>O c a k</t>
        </is>
      </c>
      <c r="E56" s="6" t="n">
        <v>58.26</v>
      </c>
      <c r="F56" s="6" t="n">
        <v>0.2</v>
      </c>
      <c r="G56" s="4" t="inlineStr">
        <is>
          <t>1 A</t>
        </is>
      </c>
      <c r="H56" s="5" t="n">
        <v>58</v>
      </c>
      <c r="I56" s="5" t="n">
        <v>2</v>
      </c>
      <c r="J56" s="5" t="n">
        <v>6</v>
      </c>
      <c r="K56" s="5" t="n">
        <v>0</v>
      </c>
    </row>
    <row r="58">
      <c r="A58" s="4" t="inlineStr">
        <is>
          <t>Ş u b a t</t>
        </is>
      </c>
      <c r="B58" s="6" t="n">
        <v>55.55</v>
      </c>
      <c r="C58" s="6" t="n">
        <v>7.2</v>
      </c>
      <c r="D58" s="4" t="inlineStr">
        <is>
          <t>2 A</t>
        </is>
      </c>
      <c r="E58" s="5" t="n">
        <v>56</v>
      </c>
      <c r="F58" s="5" t="n">
        <v>9</v>
      </c>
      <c r="G58" s="5" t="n">
        <v>5</v>
      </c>
      <c r="H58" s="5" t="n">
        <v>8</v>
      </c>
    </row>
    <row r="60">
      <c r="A60" s="4" t="inlineStr">
        <is>
          <t>M a r t</t>
        </is>
      </c>
      <c r="B60" s="6" t="n">
        <v>57.55</v>
      </c>
      <c r="C60" s="6" t="n">
        <v>7.2</v>
      </c>
      <c r="D60" s="4" t="inlineStr">
        <is>
          <t>3 A</t>
        </is>
      </c>
      <c r="E60" s="5" t="n">
        <v>57</v>
      </c>
      <c r="F60" s="5" t="n">
        <v>1</v>
      </c>
      <c r="G60" s="5" t="n">
        <v>5</v>
      </c>
      <c r="H60" s="5" t="n">
        <v>8</v>
      </c>
    </row>
    <row r="62">
      <c r="A62" s="4" t="inlineStr">
        <is>
          <t>N i s a n</t>
        </is>
      </c>
      <c r="B62" s="6" t="n">
        <v>56.85</v>
      </c>
      <c r="C62" s="6" t="n">
        <v>7.2</v>
      </c>
      <c r="D62" s="4" t="inlineStr">
        <is>
          <t>4 A</t>
        </is>
      </c>
      <c r="E62" s="5" t="n">
        <v>57</v>
      </c>
      <c r="F62" s="5" t="n">
        <v>0</v>
      </c>
      <c r="G62" s="5" t="n">
        <v>5</v>
      </c>
      <c r="H62" s="5" t="n">
        <v>7</v>
      </c>
    </row>
    <row r="64">
      <c r="A64" s="4" t="inlineStr">
        <is>
          <t>M a y ı s</t>
        </is>
      </c>
      <c r="B64" s="6" t="n">
        <v>57.85</v>
      </c>
      <c r="C64" s="6" t="n">
        <v>7.9</v>
      </c>
      <c r="D64" s="4" t="inlineStr">
        <is>
          <t>5 A</t>
        </is>
      </c>
      <c r="E64" s="5" t="n">
        <v>57</v>
      </c>
      <c r="F64" s="5" t="n">
        <v>2</v>
      </c>
      <c r="G64" s="5" t="n">
        <v>5</v>
      </c>
      <c r="H64" s="5" t="n">
        <v>7</v>
      </c>
    </row>
    <row r="66">
      <c r="A66" s="4" t="inlineStr">
        <is>
          <t>H a z i r a n</t>
        </is>
      </c>
      <c r="B66" s="6" t="n">
        <v>57.86</v>
      </c>
      <c r="C66" s="6" t="n">
        <v>0.4</v>
      </c>
      <c r="D66" s="4" t="inlineStr">
        <is>
          <t>6 A</t>
        </is>
      </c>
      <c r="E66" s="5" t="n">
        <v>57</v>
      </c>
      <c r="F66" s="5" t="n">
        <v>3</v>
      </c>
      <c r="G66" s="5" t="n">
        <v>5</v>
      </c>
      <c r="H66" s="5" t="n">
        <v>8</v>
      </c>
    </row>
    <row r="68">
      <c r="A68" s="4" t="inlineStr">
        <is>
          <t>T</t>
        </is>
      </c>
      <c r="B68" s="4" t="inlineStr">
        <is>
          <t>e m m u z</t>
        </is>
      </c>
      <c r="C68" s="6" t="n">
        <v>58.75</v>
      </c>
      <c r="D68" s="6" t="n">
        <v>9.4</v>
      </c>
      <c r="E68" s="4" t="inlineStr">
        <is>
          <t>7 A</t>
        </is>
      </c>
      <c r="F68" s="5" t="n">
        <v>57</v>
      </c>
      <c r="G68" s="5" t="n">
        <v>5</v>
      </c>
      <c r="H68" s="5" t="n">
        <v>5</v>
      </c>
      <c r="I68" s="5" t="n">
        <v>8</v>
      </c>
    </row>
    <row r="70">
      <c r="A70" s="4" t="inlineStr">
        <is>
          <t>A</t>
        </is>
      </c>
      <c r="B70" s="4" t="inlineStr">
        <is>
          <t>ğ u s t o s</t>
        </is>
      </c>
      <c r="C70" s="6" t="n">
        <v>56.15</v>
      </c>
      <c r="D70" s="6" t="n">
        <v>7.1</v>
      </c>
      <c r="E70" s="4" t="inlineStr">
        <is>
          <t>8 A</t>
        </is>
      </c>
      <c r="F70" s="5" t="n">
        <v>57</v>
      </c>
      <c r="G70" s="5" t="n">
        <v>3</v>
      </c>
      <c r="H70" s="5" t="n">
        <v>5</v>
      </c>
      <c r="I70" s="5" t="n">
        <v>8</v>
      </c>
    </row>
    <row r="72">
      <c r="A72" s="4" t="inlineStr">
        <is>
          <t>E y l ü l</t>
        </is>
      </c>
      <c r="B72" s="6" t="n">
        <v>56.45</v>
      </c>
      <c r="C72" s="6" t="n">
        <v>7.8</v>
      </c>
      <c r="D72" s="4" t="inlineStr">
        <is>
          <t>9 A</t>
        </is>
      </c>
      <c r="E72" s="5" t="n">
        <v>57</v>
      </c>
      <c r="F72" s="5" t="n">
        <v>2</v>
      </c>
      <c r="G72" s="5" t="n">
        <v>5</v>
      </c>
      <c r="H72" s="5" t="n">
        <v>8</v>
      </c>
    </row>
    <row r="74">
      <c r="A74" s="4" t="inlineStr">
        <is>
          <t>E k i m</t>
        </is>
      </c>
      <c r="B74" s="6" t="n">
        <v>55.95</v>
      </c>
      <c r="C74" s="6" t="n">
        <v>8.4</v>
      </c>
      <c r="D74" s="4" t="inlineStr">
        <is>
          <t>1 0 A</t>
        </is>
      </c>
      <c r="E74" s="5" t="n">
        <v>57</v>
      </c>
      <c r="F74" s="5" t="n">
        <v>1</v>
      </c>
      <c r="G74" s="5" t="n">
        <v>5</v>
      </c>
      <c r="H74" s="5" t="n">
        <v>8</v>
      </c>
    </row>
    <row r="76">
      <c r="A76" s="4" t="inlineStr">
        <is>
          <t>K a s ı m</t>
        </is>
      </c>
      <c r="B76" s="6" t="n">
        <v>55.15</v>
      </c>
      <c r="C76" s="6" t="n">
        <v>8.300000000000001</v>
      </c>
      <c r="D76" s="4" t="inlineStr">
        <is>
          <t>1 1 A</t>
        </is>
      </c>
      <c r="E76" s="5" t="n">
        <v>56</v>
      </c>
      <c r="F76" s="5" t="n">
        <v>9</v>
      </c>
      <c r="G76" s="5" t="n">
        <v>5</v>
      </c>
      <c r="H76" s="5" t="n">
        <v>8</v>
      </c>
    </row>
    <row r="78">
      <c r="A78" s="4" t="inlineStr">
        <is>
          <t>Y I L L I K</t>
        </is>
      </c>
      <c r="B78" s="5" t="n">
        <v>2019</v>
      </c>
      <c r="C78" s="5" t="n">
        <v>20202</v>
      </c>
      <c r="D78" s="5" t="n">
        <v>21</v>
      </c>
      <c r="E78" s="5" t="n">
        <v>2</v>
      </c>
      <c r="F78" s="5" t="n">
        <v>22</v>
      </c>
      <c r="G78" s="5" t="n">
        <v>202</v>
      </c>
      <c r="H78" s="5" t="n">
        <v>3</v>
      </c>
      <c r="I78" s="5" t="n">
        <v>2</v>
      </c>
      <c r="J78" s="5" t="n">
        <v>2</v>
      </c>
    </row>
    <row r="80">
      <c r="A80" s="4" t="inlineStr">
        <is>
          <t>C O 2 g</t>
        </is>
      </c>
      <c r="B80" s="4" t="inlineStr">
        <is>
          <t>r a m /</t>
        </is>
      </c>
      <c r="C80" s="4" t="inlineStr">
        <is>
          <t>R P K</t>
        </is>
      </c>
      <c r="D80" s="6" t="n">
        <v>65.09999999999999</v>
      </c>
      <c r="E80" s="6" t="n">
        <v>71.37</v>
      </c>
      <c r="F80" s="5" t="n">
        <v>1</v>
      </c>
      <c r="G80" s="5" t="n">
        <v>6</v>
      </c>
      <c r="H80" s="6" t="n">
        <v>2.1</v>
      </c>
      <c r="I80" s="5" t="n">
        <v>61</v>
      </c>
      <c r="J80" s="5" t="n">
        <v>3</v>
      </c>
      <c r="K80" s="5" t="n">
        <v>5</v>
      </c>
      <c r="L80" s="5" t="n">
        <v>8</v>
      </c>
    </row>
    <row r="81">
      <c r="A81" s="4" t="inlineStr">
        <is>
          <t>Karbon E</t>
        </is>
      </c>
      <c r="B81" s="4" t="inlineStr">
        <is>
          <t>misyo</t>
        </is>
      </c>
      <c r="C81" s="4" t="inlineStr">
        <is>
          <t>nu İsta</t>
        </is>
      </c>
      <c r="D81" s="4" t="inlineStr">
        <is>
          <t>tistik</t>
        </is>
      </c>
      <c r="E81" s="4" t="inlineStr">
        <is>
          <t>lerin</t>
        </is>
      </c>
      <c r="F81" s="4" t="inlineStr">
        <is>
          <t>de (grCO</t>
        </is>
      </c>
      <c r="G81" s="4" t="inlineStr">
        <is>
          <t>2/</t>
        </is>
      </c>
      <c r="H81" s="4" t="inlineStr">
        <is>
          <t>RPK</t>
        </is>
      </c>
      <c r="I81" s="4" t="inlineStr">
        <is>
          <t>)</t>
        </is>
      </c>
      <c r="J81" s="4" t="inlineStr">
        <is>
          <t>jet yakıtı emisy</t>
        </is>
      </c>
      <c r="K81" s="4" t="inlineStr">
        <is>
          <t>on katsayısı</t>
        </is>
      </c>
      <c r="L81" s="4" t="inlineStr">
        <is>
          <t>baz yıl ve tüm raporlanan d</t>
        </is>
      </c>
      <c r="M81" s="4" t="inlineStr">
        <is>
          <t>önemler için</t>
        </is>
      </c>
      <c r="N81" s="6" t="n">
        <v>3.16</v>
      </c>
      <c r="O81" s="4" t="inlineStr">
        <is>
          <t>olarak</t>
        </is>
      </c>
      <c r="P81" s="4" t="inlineStr">
        <is>
          <t>kullanılmıştır.</t>
        </is>
      </c>
    </row>
    <row r="83">
      <c r="A83" s="4" t="inlineStr">
        <is>
          <t>Arz edile</t>
        </is>
      </c>
      <c r="B83" s="4" t="inlineStr">
        <is>
          <t>n Kolt</t>
        </is>
      </c>
      <c r="C83" s="4" t="inlineStr">
        <is>
          <t>uk Kil</t>
        </is>
      </c>
      <c r="D83" s="4" t="inlineStr">
        <is>
          <t>ome</t>
        </is>
      </c>
      <c r="E83" s="4" t="inlineStr">
        <is>
          <t>tre</t>
        </is>
      </c>
      <c r="F83" s="4" t="inlineStr">
        <is>
          <t>(ASK) =</t>
        </is>
      </c>
      <c r="G83" s="4" t="inlineStr">
        <is>
          <t>Uç</t>
        </is>
      </c>
      <c r="H83" s="4" t="inlineStr">
        <is>
          <t>uş</t>
        </is>
      </c>
      <c r="I83" s="4" t="inlineStr">
        <is>
          <t>a</t>
        </is>
      </c>
      <c r="J83" s="4" t="inlineStr">
        <is>
          <t>arz edilen kolt</t>
        </is>
      </c>
      <c r="K83" s="4" t="inlineStr">
        <is>
          <t>uk sayısı x</t>
        </is>
      </c>
      <c r="L83" s="4" t="inlineStr">
        <is>
          <t>Ortalama Uçuş Mesafes</t>
        </is>
      </c>
      <c r="M83" s="4" t="inlineStr">
        <is>
          <t>i</t>
        </is>
      </c>
    </row>
    <row r="85">
      <c r="A85" s="4" t="inlineStr">
        <is>
          <t>Doluluk</t>
        </is>
      </c>
      <c r="B85" s="4" t="inlineStr">
        <is>
          <t>Oranı</t>
        </is>
      </c>
      <c r="C85" s="4">
        <f> Bile</f>
        <v/>
      </c>
      <c r="D85" s="4" t="inlineStr">
        <is>
          <t>tlen</t>
        </is>
      </c>
      <c r="E85" s="4" t="inlineStr">
        <is>
          <t>miş</t>
        </is>
      </c>
      <c r="F85" s="4" t="inlineStr">
        <is>
          <t>misafir</t>
        </is>
      </c>
      <c r="G85" s="4" t="inlineStr">
        <is>
          <t>say</t>
        </is>
      </c>
      <c r="H85" s="4" t="inlineStr">
        <is>
          <t>ısı</t>
        </is>
      </c>
      <c r="I85" s="4" t="inlineStr">
        <is>
          <t>/</t>
        </is>
      </c>
      <c r="J85" s="4" t="inlineStr">
        <is>
          <t>Toplam koltu</t>
        </is>
      </c>
      <c r="K85" s="4" t="inlineStr">
        <is>
          <t>k sayısı</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7" customWidth="1" min="1" max="1"/>
    <col width="26" customWidth="1" min="2" max="2"/>
    <col width="17" customWidth="1" min="3" max="3"/>
    <col width="19" customWidth="1" min="4" max="4"/>
    <col width="14" customWidth="1" min="5" max="5"/>
    <col width="19" customWidth="1" min="6" max="6"/>
    <col width="12" customWidth="1" min="7" max="7"/>
    <col width="15" customWidth="1" min="8" max="8"/>
    <col width="24" customWidth="1" min="9" max="9"/>
    <col width="25" customWidth="1" min="10" max="10"/>
    <col width="24" customWidth="1" min="11" max="11"/>
  </cols>
  <sheetData>
    <row r="1">
      <c r="A1" s="4" t="inlineStr">
        <is>
          <t>Bu belge Pegasus Hava</t>
        </is>
      </c>
      <c r="B1" s="4" t="inlineStr">
        <is>
          <t>Taşımacılığı Anonim</t>
        </is>
      </c>
      <c r="C1" s="4" t="inlineStr">
        <is>
          <t>Şirketi (“Pega</t>
        </is>
      </c>
      <c r="D1" s="4" t="inlineStr">
        <is>
          <t>sus”) tarafında</t>
        </is>
      </c>
      <c r="E1" s="4" t="inlineStr">
        <is>
          <t>n Pegasus</t>
        </is>
      </c>
      <c r="F1" s="4" t="inlineStr">
        <is>
          <t>Bilgilendirme</t>
        </is>
      </c>
      <c r="G1" s="4" t="inlineStr">
        <is>
          <t>Politik</t>
        </is>
      </c>
      <c r="H1" s="4" t="inlineStr">
        <is>
          <t>ası uyarınca</t>
        </is>
      </c>
      <c r="I1" s="4" t="inlineStr">
        <is>
          <t>hazırlanmıştır. Bu be</t>
        </is>
      </c>
      <c r="J1" s="4" t="inlineStr">
        <is>
          <t>lgede yer alan bilgil</t>
        </is>
      </c>
      <c r="K1" s="4" t="inlineStr">
        <is>
          <t>er Pegasus’un kendi</t>
        </is>
      </c>
    </row>
    <row r="2">
      <c r="A2" s="3" t="inlineStr">
        <is>
          <t>kayıtlarına, Pegasus’un</t>
        </is>
      </c>
      <c r="B2" s="3" t="inlineStr">
        <is>
          <t>faaliyet gösterdiği p</t>
        </is>
      </c>
      <c r="C2" s="3" t="inlineStr">
        <is>
          <t>azarlara ait ke</t>
        </is>
      </c>
      <c r="D2" s="3" t="inlineStr">
        <is>
          <t>ndi bilgi ve tecr</t>
        </is>
      </c>
      <c r="E2" s="3" t="inlineStr">
        <is>
          <t>übeleri uy</t>
        </is>
      </c>
      <c r="F2" s="3" t="inlineStr">
        <is>
          <t>arınca gerçekl</t>
        </is>
      </c>
      <c r="G2" s="3" t="inlineStr">
        <is>
          <t>eştirile</t>
        </is>
      </c>
      <c r="H2" s="3" t="inlineStr">
        <is>
          <t>n araştırma</t>
        </is>
      </c>
      <c r="I2" s="3" t="inlineStr">
        <is>
          <t>ve öngörülere veya</t>
        </is>
      </c>
      <c r="J2" s="3" t="inlineStr">
        <is>
          <t>Pegasus’un erişimin</t>
        </is>
      </c>
      <c r="K2" s="3" t="inlineStr">
        <is>
          <t>e sunulan ve üçüncü</t>
        </is>
      </c>
    </row>
    <row r="3">
      <c r="A3" s="4" t="inlineStr">
        <is>
          <t>kişiler tarafından hazırl</t>
        </is>
      </c>
      <c r="B3" s="4" t="inlineStr">
        <is>
          <t>anan sektör, piyasa</t>
        </is>
      </c>
      <c r="C3" s="4" t="inlineStr">
        <is>
          <t>ve benzeri kon</t>
        </is>
      </c>
      <c r="D3" s="4" t="inlineStr">
        <is>
          <t>ulara ilişkin ve</t>
        </is>
      </c>
      <c r="E3" s="4" t="inlineStr">
        <is>
          <t>rilere daya</t>
        </is>
      </c>
      <c r="F3" s="4" t="inlineStr">
        <is>
          <t>nmaktadır ve</t>
        </is>
      </c>
      <c r="G3" s="4" t="inlineStr">
        <is>
          <t>dış kay</t>
        </is>
      </c>
      <c r="H3" s="4" t="inlineStr">
        <is>
          <t>naklı verile</t>
        </is>
      </c>
      <c r="I3" s="4" t="inlineStr">
        <is>
          <t>r için kaynak gösteril</t>
        </is>
      </c>
      <c r="J3" s="4" t="inlineStr">
        <is>
          <t>mektedir. Pegasus d</t>
        </is>
      </c>
      <c r="K3" s="4" t="inlineStr">
        <is>
          <t>ış kaynaklı verilerin</t>
        </is>
      </c>
    </row>
    <row r="4">
      <c r="A4" s="4" t="inlineStr">
        <is>
          <t>güvenilir kaynaklardan</t>
        </is>
      </c>
      <c r="B4" s="4" t="inlineStr">
        <is>
          <t>elde edildiğini değer</t>
        </is>
      </c>
      <c r="C4" s="4" t="inlineStr">
        <is>
          <t>lendirmekle b</t>
        </is>
      </c>
      <c r="D4" s="4" t="inlineStr">
        <is>
          <t>irlikte bu verile</t>
        </is>
      </c>
      <c r="E4" s="4" t="inlineStr">
        <is>
          <t>rin doğrul</t>
        </is>
      </c>
      <c r="F4" s="4" t="inlineStr">
        <is>
          <t>uğunu kontrol</t>
        </is>
      </c>
      <c r="G4" s="4" t="inlineStr">
        <is>
          <t>etme</t>
        </is>
      </c>
      <c r="H4" s="4" t="inlineStr">
        <is>
          <t>mektedir ve</t>
        </is>
      </c>
      <c r="I4" s="4" t="inlineStr">
        <is>
          <t>bu verilerin tam vey</t>
        </is>
      </c>
      <c r="J4" s="4" t="inlineStr">
        <is>
          <t>a doğru olduğu veya</t>
        </is>
      </c>
      <c r="K4" s="4" t="inlineStr">
        <is>
          <t>yanıltıcı olmadığına</t>
        </is>
      </c>
    </row>
    <row r="5">
      <c r="A5" s="4" t="inlineStr">
        <is>
          <t>dair herhangi bir taahh</t>
        </is>
      </c>
      <c r="B5" s="4" t="inlineStr">
        <is>
          <t>ütte bulunmamakt</t>
        </is>
      </c>
      <c r="C5" s="4" t="inlineStr">
        <is>
          <t>adır.</t>
        </is>
      </c>
    </row>
    <row r="7">
      <c r="A7" s="4" t="inlineStr">
        <is>
          <t>Burada yer alan veriler</t>
        </is>
      </c>
      <c r="B7" s="4" t="inlineStr">
        <is>
          <t>yatırımcıları Pegasus</t>
        </is>
      </c>
      <c r="C7" s="4" t="inlineStr">
        <is>
          <t>’un faaliyet so</t>
        </is>
      </c>
      <c r="D7" s="4" t="inlineStr">
        <is>
          <t>nuçları, hedef v</t>
        </is>
      </c>
      <c r="E7" s="4" t="inlineStr">
        <is>
          <t>e beklent</t>
        </is>
      </c>
      <c r="F7" s="4" t="inlineStr">
        <is>
          <t>ileri hakkında</t>
        </is>
      </c>
      <c r="G7" s="4" t="inlineStr">
        <is>
          <t>doğru,</t>
        </is>
      </c>
      <c r="H7" s="4" t="inlineStr">
        <is>
          <t>açık ve eşit</t>
        </is>
      </c>
      <c r="I7" s="4" t="inlineStr">
        <is>
          <t>koşullarda bilgilendi</t>
        </is>
      </c>
      <c r="J7" s="4" t="inlineStr">
        <is>
          <t>rme amacıyla hazırla</t>
        </is>
      </c>
      <c r="K7" s="4" t="inlineStr">
        <is>
          <t>nmış olup herhangi</t>
        </is>
      </c>
    </row>
    <row r="8">
      <c r="A8" s="4" t="inlineStr">
        <is>
          <t>bir yatırım tavsiyesi vey</t>
        </is>
      </c>
      <c r="B8" s="4" t="inlineStr">
        <is>
          <t>a Pegasus tarafında</t>
        </is>
      </c>
      <c r="C8" s="4" t="inlineStr">
        <is>
          <t>n ihraç edilmiş</t>
        </is>
      </c>
      <c r="D8" s="4" t="inlineStr">
        <is>
          <t>sermaye piyas</t>
        </is>
      </c>
      <c r="E8" s="4" t="inlineStr">
        <is>
          <t>ası araçlar</t>
        </is>
      </c>
      <c r="F8" s="4" t="inlineStr">
        <is>
          <t>ına ilişkin bir i</t>
        </is>
      </c>
      <c r="G8" s="4" t="inlineStr">
        <is>
          <t>cap vey</t>
        </is>
      </c>
      <c r="H8" s="4" t="inlineStr">
        <is>
          <t>a icaba dav</t>
        </is>
      </c>
      <c r="I8" s="4" t="inlineStr">
        <is>
          <t>et oluşturmamaktad</t>
        </is>
      </c>
      <c r="J8" s="4" t="inlineStr">
        <is>
          <t>ır. Yatırımcıların yatı</t>
        </is>
      </c>
      <c r="K8" s="4" t="inlineStr">
        <is>
          <t>rım kararlarını farklı</t>
        </is>
      </c>
    </row>
    <row r="9">
      <c r="A9" s="4" t="inlineStr">
        <is>
          <t>kaynaklardan erişimler</t>
        </is>
      </c>
      <c r="B9" s="4" t="inlineStr">
        <is>
          <t>ine sunulan ve yatı</t>
        </is>
      </c>
      <c r="C9" s="4" t="inlineStr">
        <is>
          <t>rım kararların</t>
        </is>
      </c>
      <c r="D9" s="4" t="inlineStr">
        <is>
          <t>ı etkileyebilec</t>
        </is>
      </c>
      <c r="E9" s="4" t="inlineStr">
        <is>
          <t>ek diğer b</t>
        </is>
      </c>
      <c r="F9" s="4" t="inlineStr">
        <is>
          <t>ilgi, olay ve d</t>
        </is>
      </c>
      <c r="G9" s="4" t="inlineStr">
        <is>
          <t>uruml</t>
        </is>
      </c>
      <c r="H9" s="4" t="inlineStr">
        <is>
          <t>arın değerl</t>
        </is>
      </c>
      <c r="I9" s="4" t="inlineStr">
        <is>
          <t>endirilmesi doğrult</t>
        </is>
      </c>
      <c r="J9" s="4" t="inlineStr">
        <is>
          <t>usunda oluşturmala</t>
        </is>
      </c>
      <c r="K9" s="4" t="inlineStr">
        <is>
          <t>rı gerekmektedir.</t>
        </is>
      </c>
    </row>
    <row r="11">
      <c r="A11" s="4" t="inlineStr">
        <is>
          <t>Pegasus tarafından haz</t>
        </is>
      </c>
      <c r="B11" s="4" t="inlineStr">
        <is>
          <t>ırlanan yatırımcı bilg</t>
        </is>
      </c>
      <c r="C11" s="4" t="inlineStr">
        <is>
          <t>ilendirme bel</t>
        </is>
      </c>
      <c r="D11" s="4" t="inlineStr">
        <is>
          <t>geleri geleceğe</t>
        </is>
      </c>
      <c r="E11" s="4" t="inlineStr">
        <is>
          <t>yönelik he</t>
        </is>
      </c>
      <c r="F11" s="4" t="inlineStr">
        <is>
          <t>def veya bekl</t>
        </is>
      </c>
      <c r="G11" s="4" t="inlineStr">
        <is>
          <t>entiler</t>
        </is>
      </c>
      <c r="H11" s="4" t="inlineStr">
        <is>
          <t>içerebilir. B</t>
        </is>
      </c>
      <c r="I11" s="4" t="inlineStr">
        <is>
          <t>u hedef ve beklentil</t>
        </is>
      </c>
      <c r="J11" s="4" t="inlineStr">
        <is>
          <t>er bu başlık ile veya</t>
        </is>
      </c>
      <c r="K11" s="4" t="inlineStr">
        <is>
          <t>“öngörülmektedir”,</t>
        </is>
      </c>
    </row>
    <row r="12">
      <c r="A12" s="4" t="inlineStr">
        <is>
          <t>“düşünülmektedir”, “ta</t>
        </is>
      </c>
      <c r="B12" s="4" t="inlineStr">
        <is>
          <t>hmin edilmektedir”,</t>
        </is>
      </c>
      <c r="C12" s="4" t="inlineStr">
        <is>
          <t>“beklenmekt</t>
        </is>
      </c>
      <c r="D12" s="4" t="inlineStr">
        <is>
          <t>edir” ve benzer</t>
        </is>
      </c>
      <c r="E12" s="4" t="inlineStr">
        <is>
          <t>ifadeler il</t>
        </is>
      </c>
      <c r="F12" s="4" t="inlineStr">
        <is>
          <t>e veya gelece</t>
        </is>
      </c>
      <c r="G12" s="4" t="inlineStr">
        <is>
          <t>k zam</t>
        </is>
      </c>
      <c r="H12" s="4" t="inlineStr">
        <is>
          <t>an kipi kulla</t>
        </is>
      </c>
      <c r="I12" s="4" t="inlineStr">
        <is>
          <t>nılarak paylaşılabilir</t>
        </is>
      </c>
      <c r="J12" s="4" t="inlineStr">
        <is>
          <t>. Geleceğe yönelik h</t>
        </is>
      </c>
      <c r="K12" s="4" t="inlineStr">
        <is>
          <t>edef ve beklentiler</t>
        </is>
      </c>
    </row>
    <row r="13">
      <c r="A13" s="4" t="inlineStr">
        <is>
          <t>Pegasus’un operasyon</t>
        </is>
      </c>
      <c r="B13" s="4" t="inlineStr">
        <is>
          <t>el ve mali performan</t>
        </is>
      </c>
      <c r="C13" s="4" t="inlineStr">
        <is>
          <t>sı, büyüme ve</t>
        </is>
      </c>
      <c r="D13" s="4" t="inlineStr">
        <is>
          <t>stratejisine ve</t>
        </is>
      </c>
      <c r="E13" s="4" t="inlineStr">
        <is>
          <t>Pegasus Y</t>
        </is>
      </c>
      <c r="F13" s="4" t="inlineStr">
        <is>
          <t>önetiminin ge</t>
        </is>
      </c>
      <c r="G13" s="4" t="inlineStr">
        <is>
          <t>leceğe</t>
        </is>
      </c>
      <c r="H13" s="4" t="inlineStr">
        <is>
          <t>yönelik pla</t>
        </is>
      </c>
      <c r="I13" s="4" t="inlineStr">
        <is>
          <t>nlama ve hedeflerin</t>
        </is>
      </c>
      <c r="J13" s="4" t="inlineStr">
        <is>
          <t>e ilişkin olabilir. Gel</t>
        </is>
      </c>
      <c r="K13" s="4" t="inlineStr">
        <is>
          <t>eceğe yönelik hedef</t>
        </is>
      </c>
    </row>
    <row r="14">
      <c r="A14" s="4" t="inlineStr">
        <is>
          <t>ve beklentilere ilişkin a</t>
        </is>
      </c>
      <c r="B14" s="4" t="inlineStr">
        <is>
          <t>çıklamalar henüz ge</t>
        </is>
      </c>
      <c r="C14" s="4" t="inlineStr">
        <is>
          <t>rçekleşmemiş</t>
        </is>
      </c>
      <c r="D14" s="4" t="inlineStr">
        <is>
          <t>konulara ilişkin</t>
        </is>
      </c>
      <c r="E14" s="4" t="inlineStr">
        <is>
          <t>dir. Gelec</t>
        </is>
      </c>
      <c r="F14" s="4" t="inlineStr">
        <is>
          <t>eğe yönelik he</t>
        </is>
      </c>
      <c r="G14" s="4" t="inlineStr">
        <is>
          <t>def ve</t>
        </is>
      </c>
      <c r="H14" s="4" t="inlineStr">
        <is>
          <t>beklentiler</t>
        </is>
      </c>
      <c r="I14" s="4" t="inlineStr">
        <is>
          <t>makul varsayım ve t</t>
        </is>
      </c>
      <c r="J14" s="4" t="inlineStr">
        <is>
          <t>ahminlere dayandır</t>
        </is>
      </c>
      <c r="K14" s="4" t="inlineStr">
        <is>
          <t>ılır. Bununla birlikte</t>
        </is>
      </c>
    </row>
    <row r="15">
      <c r="A15" s="4" t="inlineStr">
        <is>
          <t>bu hedef ve beklentiler</t>
        </is>
      </c>
      <c r="B15" s="4" t="inlineStr">
        <is>
          <t>belirsizlik ve riskler i</t>
        </is>
      </c>
      <c r="C15" s="4" t="inlineStr">
        <is>
          <t>çermekte olup</t>
        </is>
      </c>
      <c r="D15" s="4" t="inlineStr">
        <is>
          <t>, duyurunun ya</t>
        </is>
      </c>
      <c r="E15" s="4" t="inlineStr">
        <is>
          <t>pıldığı tari</t>
        </is>
      </c>
      <c r="F15" s="4" t="inlineStr">
        <is>
          <t>h itibarıyla ge</t>
        </is>
      </c>
      <c r="G15" s="4" t="inlineStr">
        <is>
          <t>çerli he</t>
        </is>
      </c>
      <c r="H15" s="4" t="inlineStr">
        <is>
          <t>def ve bekl</t>
        </is>
      </c>
      <c r="I15" s="4" t="inlineStr">
        <is>
          <t>entileri ifade etmekte</t>
        </is>
      </c>
      <c r="J15" s="4" t="inlineStr">
        <is>
          <t>dir. Birçok etken gel</t>
        </is>
      </c>
      <c r="K15" s="4" t="inlineStr">
        <is>
          <t>eceğe yönelik hedef</t>
        </is>
      </c>
    </row>
    <row r="16">
      <c r="A16" s="4" t="inlineStr">
        <is>
          <t>ve beklentilerin öngör</t>
        </is>
      </c>
      <c r="B16" s="4" t="inlineStr">
        <is>
          <t>ülenden önemli ölç</t>
        </is>
      </c>
      <c r="C16" s="4" t="inlineStr">
        <is>
          <t>üde farklı so</t>
        </is>
      </c>
      <c r="D16" s="4" t="inlineStr">
        <is>
          <t>nuçlanmasına y</t>
        </is>
      </c>
      <c r="E16" s="4" t="inlineStr">
        <is>
          <t>ol açabilir</t>
        </is>
      </c>
      <c r="F16" s="4" t="inlineStr">
        <is>
          <t>.</t>
        </is>
      </c>
    </row>
    <row r="18">
      <c r="A18" s="4" t="inlineStr">
        <is>
          <t>Pegasus geleceğe yöne</t>
        </is>
      </c>
      <c r="B18" s="4" t="inlineStr">
        <is>
          <t>lik hedef ve beklenti</t>
        </is>
      </c>
      <c r="C18" s="4" t="inlineStr">
        <is>
          <t>ler de dahil ol</t>
        </is>
      </c>
      <c r="D18" s="4" t="inlineStr">
        <is>
          <t>mak üzere bu be</t>
        </is>
      </c>
      <c r="E18" s="4" t="inlineStr">
        <is>
          <t>lgede yer</t>
        </is>
      </c>
      <c r="F18" s="4" t="inlineStr">
        <is>
          <t>alan beyanlar</t>
        </is>
      </c>
      <c r="G18" s="4" t="inlineStr">
        <is>
          <t>ın ilgili</t>
        </is>
      </c>
      <c r="H18" s="4" t="inlineStr">
        <is>
          <t>sermaye pi</t>
        </is>
      </c>
      <c r="I18" s="4" t="inlineStr">
        <is>
          <t>yasası mevzuatından</t>
        </is>
      </c>
      <c r="J18" s="4" t="inlineStr">
        <is>
          <t>doğan yükümlülükle</t>
        </is>
      </c>
      <c r="K18" s="4" t="inlineStr">
        <is>
          <t>rin gereği haricinde</t>
        </is>
      </c>
    </row>
    <row r="19">
      <c r="A19" s="4" t="inlineStr">
        <is>
          <t>güncel tutulması, günc</t>
        </is>
      </c>
      <c r="B19" s="4" t="inlineStr">
        <is>
          <t>ellenmesi, yenilenm</t>
        </is>
      </c>
      <c r="C19" s="4" t="inlineStr">
        <is>
          <t>esi veya düze</t>
        </is>
      </c>
      <c r="D19" s="4" t="inlineStr">
        <is>
          <t>nli olarak bildir</t>
        </is>
      </c>
      <c r="E19" s="4" t="inlineStr">
        <is>
          <t>imi konus</t>
        </is>
      </c>
      <c r="F19" s="4" t="inlineStr">
        <is>
          <t>unda herhan</t>
        </is>
      </c>
      <c r="G19" s="4" t="inlineStr">
        <is>
          <t>gi bir t</t>
        </is>
      </c>
      <c r="H19" s="4" t="inlineStr">
        <is>
          <t>aahhütte bu</t>
        </is>
      </c>
      <c r="I19" s="4" t="inlineStr">
        <is>
          <t>lunmamaktadır. Bu</t>
        </is>
      </c>
      <c r="J19" s="4" t="inlineStr">
        <is>
          <t>belgeyi herhangi bi</t>
        </is>
      </c>
      <c r="K19" s="4" t="inlineStr">
        <is>
          <t>r şekilde kullanarak</t>
        </is>
      </c>
    </row>
    <row r="20">
      <c r="A20" s="4" t="inlineStr">
        <is>
          <t>burada yer verilen uya</t>
        </is>
      </c>
      <c r="B20" s="4" t="inlineStr">
        <is>
          <t>rıları okuduğunuz,</t>
        </is>
      </c>
      <c r="C20" s="4" t="inlineStr">
        <is>
          <t>anladığınız ve</t>
        </is>
      </c>
      <c r="D20" s="4" t="inlineStr">
        <is>
          <t>kabul ettiğiniz</t>
        </is>
      </c>
      <c r="E20" s="4" t="inlineStr">
        <is>
          <t>varsayılm</t>
        </is>
      </c>
      <c r="F20" s="4" t="inlineStr">
        <is>
          <t>aktadır.</t>
        </is>
      </c>
    </row>
    <row r="22">
      <c r="A22" s="2" t="inlineStr">
        <is>
          <t>Genel (Public)</t>
        </is>
      </c>
    </row>
  </sheetData>
  <mergeCells count="1">
    <mergeCell ref="A22:K2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2" customWidth="1" min="1" max="1"/>
    <col width="29" customWidth="1" min="2" max="2"/>
    <col width="19" customWidth="1" min="3" max="3"/>
    <col width="21" customWidth="1" min="4" max="4"/>
  </cols>
  <sheetData>
    <row r="1">
      <c r="A1" s="4" t="inlineStr">
        <is>
          <t>AYLIK</t>
        </is>
      </c>
      <c r="B1" s="4" t="inlineStr">
        <is>
          <t>KÜMÜLATİF</t>
        </is>
      </c>
    </row>
    <row r="2">
      <c r="A2" s="3" t="inlineStr">
        <is>
          <t>Aralık Aralık '25/'24</t>
        </is>
      </c>
      <c r="B2" s="3" t="inlineStr">
        <is>
          <t>Oca.-Ara. Oca.-Ara. '25/'24</t>
        </is>
      </c>
    </row>
    <row r="3">
      <c r="A3" s="3" t="inlineStr">
        <is>
          <t>2025 2024</t>
        </is>
      </c>
      <c r="B3" s="3" t="inlineStr">
        <is>
          <t>% Değ.</t>
        </is>
      </c>
      <c r="C3" s="3" t="inlineStr">
        <is>
          <t>2025 2024</t>
        </is>
      </c>
      <c r="D3" s="3" t="inlineStr">
        <is>
          <t>% Değ.</t>
        </is>
      </c>
    </row>
    <row r="4">
      <c r="A4" s="4" t="inlineStr">
        <is>
          <t>Toplam</t>
        </is>
      </c>
      <c r="B4" s="4" t="inlineStr">
        <is>
          <t>Misafir sayısı, mn
Konma
Koltuk sayısı, mn
Doluluk Oranı
ASK (mln km)
Konma başına Misafir</t>
        </is>
      </c>
      <c r="C4" s="4" t="inlineStr">
        <is>
          <t>3.62 3.10 17%
19,787 17,367 14%
4.17 3.64 14%
86.9% 85.2% 1.7p
6,475 5,521 17%
183 179 2%</t>
        </is>
      </c>
      <c r="D4" s="4" t="inlineStr">
        <is>
          <t>43.26 37.48 15%
234,270 206,048 14%
49.35 42.75 15%
87.7% 87.7% 0.0p
78,336 66,808 17%
185 182 2%</t>
        </is>
      </c>
    </row>
    <row r="5">
      <c r="A5" s="4" t="inlineStr">
        <is>
          <t>İç Hatlar</t>
        </is>
      </c>
      <c r="B5" s="4" t="inlineStr">
        <is>
          <t>Misafir sayısı, mn
Konma
Koltuk sayısı, mn
Doluluk Oranı
ASK (mln km)
Konma başına Misafir</t>
        </is>
      </c>
      <c r="C5" s="4" t="inlineStr">
        <is>
          <t>1.36 1.19 14%
6,977 6,465 8%
1.47 1.34 10%
92.5% 88.6% 3.9p
1,144 1,014 13%
195 184 6%</t>
        </is>
      </c>
      <c r="D5" s="4" t="inlineStr">
        <is>
          <t>15.55 14.06 11%
79,128 74,275 7%
16.91 15.38 10%
91.9% 91.4% 0.6p
12,920 11,400 13%
197 189 4%</t>
        </is>
      </c>
    </row>
    <row r="6">
      <c r="A6" s="4" t="inlineStr">
        <is>
          <t>Dış Hatlar*</t>
        </is>
      </c>
      <c r="B6" s="4" t="inlineStr">
        <is>
          <t>Misafir sayısı, mn
Konma
Koltuk sayısı, mn
Doluluk Oranı
ASK (mln km)
Konma başına Misafir</t>
        </is>
      </c>
      <c r="C6" s="4" t="inlineStr">
        <is>
          <t>2.26 1.91 18%
12,810 10,902 18%
2.70 2.30 17%
83.8% 83.2% 0.6p
5,331 4,507 18%
176 175 1%</t>
        </is>
      </c>
      <c r="D6" s="4" t="inlineStr">
        <is>
          <t>27.71 23.42 18%
155,142 131,773 18%
32.44 27.37 19%
85.4% 85.6% -0.2p
65,417 55,409 18%
179 178 0%</t>
        </is>
      </c>
    </row>
    <row r="9">
      <c r="A9" s="2" t="inlineStr">
        <is>
          <t>Karbon Emisyonu İstatistikleri</t>
        </is>
      </c>
    </row>
    <row r="10">
      <c r="A10" s="3" t="inlineStr">
        <is>
          <t>AYLIK</t>
        </is>
      </c>
      <c r="B10" s="3" t="inlineStr">
        <is>
          <t>2025 2024</t>
        </is>
      </c>
      <c r="C10" s="3" t="inlineStr">
        <is>
          <t>KÜMÜLATİF</t>
        </is>
      </c>
      <c r="D10" s="3" t="inlineStr">
        <is>
          <t>2025 2024</t>
        </is>
      </c>
    </row>
    <row r="11">
      <c r="A11" s="4" t="inlineStr">
        <is>
          <t>CO2 gram/RPK Ocak 58.2 60.2
Şubat 55.5 57.2
Mart 57.5 57.2
Nisan 56.8 57.2
Mayıs 57.8 57.9
Haziran 57.8 60.4
Temmuz 58.7 59.4
Ağustos 56.1 57.1
Eylül 56.4 57.8
Ekim 55.9 58.4
Kasım 55.1 58.3
Aralık 56.8 58.4</t>
        </is>
      </c>
      <c r="B11" s="4" t="inlineStr">
        <is>
          <t>1A 58.2 60.2
2A 56.9 58.7
3A 57.1 58.2
4A 57.0 57.9
5A 57.2 57.9
6A 57.3 58.4
7A 57.5 58.6
8A 57.3 58.3
9A 57.2 58.3
10A 57.1 58.3
11A 56.9 58.3
12A 56.9 58.3</t>
        </is>
      </c>
    </row>
    <row r="12">
      <c r="A12" s="2" t="inlineStr">
        <is>
          <t>YILLIK 2019 2020 2021 2022 2023 2024</t>
        </is>
      </c>
    </row>
    <row r="13">
      <c r="A13" s="2" t="inlineStr">
        <is>
          <t>CO2 gram/RPK 65.1 71.3 71.0 62.1 61.3 58.3</t>
        </is>
      </c>
    </row>
  </sheetData>
  <mergeCells count="3">
    <mergeCell ref="A12:D12"/>
    <mergeCell ref="A9:D9"/>
    <mergeCell ref="A13:D13"/>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26" customWidth="1" min="2" max="2"/>
    <col width="17" customWidth="1" min="3" max="3"/>
    <col width="19" customWidth="1" min="4" max="4"/>
    <col width="14" customWidth="1" min="5" max="5"/>
    <col width="19" customWidth="1" min="6" max="6"/>
    <col width="12" customWidth="1" min="7" max="7"/>
    <col width="26" customWidth="1" min="8" max="8"/>
    <col width="32" customWidth="1" min="9" max="9"/>
    <col width="24" customWidth="1" min="10" max="10"/>
  </cols>
  <sheetData>
    <row r="1">
      <c r="A1" s="4" t="inlineStr">
        <is>
          <t>Bu belge Pegasus Hava</t>
        </is>
      </c>
      <c r="B1" s="4" t="inlineStr">
        <is>
          <t>Taşımacılığı Anonim</t>
        </is>
      </c>
      <c r="C1" s="4" t="inlineStr">
        <is>
          <t>Şirketi (“Pega</t>
        </is>
      </c>
      <c r="D1" s="4" t="inlineStr">
        <is>
          <t>sus”) tarafında</t>
        </is>
      </c>
      <c r="E1" s="4" t="inlineStr">
        <is>
          <t>n Pegasus</t>
        </is>
      </c>
      <c r="F1" s="4" t="inlineStr">
        <is>
          <t>Bilgilendirme</t>
        </is>
      </c>
      <c r="G1" s="4" t="inlineStr">
        <is>
          <t>Politik</t>
        </is>
      </c>
      <c r="H1" s="4" t="inlineStr">
        <is>
          <t>ası uyarınca hazırlanmı</t>
        </is>
      </c>
      <c r="I1" s="4" t="inlineStr">
        <is>
          <t>ştır. Bu belgede yer alan bilgil</t>
        </is>
      </c>
      <c r="J1" s="4" t="inlineStr">
        <is>
          <t>er Pegasus’un kendi</t>
        </is>
      </c>
    </row>
    <row r="2">
      <c r="A2" s="3" t="inlineStr">
        <is>
          <t>kayıtlarına, Pegasus’un</t>
        </is>
      </c>
      <c r="B2" s="3" t="inlineStr">
        <is>
          <t>faaliyet gösterdiği p</t>
        </is>
      </c>
      <c r="C2" s="3" t="inlineStr">
        <is>
          <t>azarlara ait ke</t>
        </is>
      </c>
      <c r="D2" s="3" t="inlineStr">
        <is>
          <t>ndi bilgi ve tecr</t>
        </is>
      </c>
      <c r="E2" s="3" t="inlineStr">
        <is>
          <t>übeleri uy</t>
        </is>
      </c>
      <c r="F2" s="3" t="inlineStr">
        <is>
          <t>arınca gerçekl</t>
        </is>
      </c>
      <c r="G2" s="3" t="inlineStr">
        <is>
          <t>eştirile</t>
        </is>
      </c>
      <c r="H2" s="3" t="inlineStr">
        <is>
          <t>n araştırma ve öngörül</t>
        </is>
      </c>
      <c r="I2" s="3" t="inlineStr">
        <is>
          <t>ere veya Pegasus’un erişimin</t>
        </is>
      </c>
      <c r="J2" s="3" t="inlineStr">
        <is>
          <t>e sunulan ve üçüncü</t>
        </is>
      </c>
    </row>
    <row r="3">
      <c r="A3" s="4" t="inlineStr">
        <is>
          <t>kişiler tarafından hazırl</t>
        </is>
      </c>
      <c r="B3" s="4" t="inlineStr">
        <is>
          <t>anan sektör, piyasa</t>
        </is>
      </c>
      <c r="C3" s="4" t="inlineStr">
        <is>
          <t>ve benzeri kon</t>
        </is>
      </c>
      <c r="D3" s="4" t="inlineStr">
        <is>
          <t>ulara ilişkin ve</t>
        </is>
      </c>
      <c r="E3" s="4" t="inlineStr">
        <is>
          <t>rilere daya</t>
        </is>
      </c>
      <c r="F3" s="4" t="inlineStr">
        <is>
          <t>nmaktadır ve</t>
        </is>
      </c>
      <c r="G3" s="4" t="inlineStr">
        <is>
          <t>dış kay</t>
        </is>
      </c>
      <c r="H3" s="4" t="inlineStr">
        <is>
          <t>naklı veriler için kayna</t>
        </is>
      </c>
      <c r="I3" s="4" t="inlineStr">
        <is>
          <t>k gösterilmektedir. Pegasus d</t>
        </is>
      </c>
      <c r="J3" s="4" t="inlineStr">
        <is>
          <t>ış kaynaklı verilerin</t>
        </is>
      </c>
    </row>
    <row r="4">
      <c r="A4" s="4" t="inlineStr">
        <is>
          <t>güvenilir kaynaklardan</t>
        </is>
      </c>
      <c r="B4" s="4" t="inlineStr">
        <is>
          <t>elde edildiğini değer</t>
        </is>
      </c>
      <c r="C4" s="4" t="inlineStr">
        <is>
          <t>lendirmekle b</t>
        </is>
      </c>
      <c r="D4" s="4" t="inlineStr">
        <is>
          <t>irlikte bu verile</t>
        </is>
      </c>
      <c r="E4" s="4" t="inlineStr">
        <is>
          <t>rin doğrul</t>
        </is>
      </c>
      <c r="F4" s="4" t="inlineStr">
        <is>
          <t>uğunu kontrol</t>
        </is>
      </c>
      <c r="G4" s="4" t="inlineStr">
        <is>
          <t>etme</t>
        </is>
      </c>
      <c r="H4" s="4" t="inlineStr">
        <is>
          <t>mektedir ve bu verilerin</t>
        </is>
      </c>
      <c r="I4" s="4" t="inlineStr">
        <is>
          <t>tam veya doğru olduğu veya</t>
        </is>
      </c>
      <c r="J4" s="4" t="inlineStr">
        <is>
          <t>yanıltıcı olmadığına</t>
        </is>
      </c>
    </row>
    <row r="5">
      <c r="A5" s="4" t="inlineStr">
        <is>
          <t>dair herhangi bir taahh</t>
        </is>
      </c>
      <c r="B5" s="4" t="inlineStr">
        <is>
          <t>ütte bulunmamakt</t>
        </is>
      </c>
      <c r="C5" s="4" t="inlineStr">
        <is>
          <t>adır.</t>
        </is>
      </c>
    </row>
    <row r="7">
      <c r="A7" s="4" t="inlineStr">
        <is>
          <t>Burada yer alan veriler</t>
        </is>
      </c>
      <c r="B7" s="4" t="inlineStr">
        <is>
          <t>yatırımcıları Pegasus</t>
        </is>
      </c>
      <c r="C7" s="4" t="inlineStr">
        <is>
          <t>’un faaliyet so</t>
        </is>
      </c>
      <c r="D7" s="4" t="inlineStr">
        <is>
          <t>nuçları, hedef v</t>
        </is>
      </c>
      <c r="E7" s="4" t="inlineStr">
        <is>
          <t>e beklent</t>
        </is>
      </c>
      <c r="F7" s="4" t="inlineStr">
        <is>
          <t>ileri hakkında</t>
        </is>
      </c>
      <c r="G7" s="4" t="inlineStr">
        <is>
          <t>doğru,</t>
        </is>
      </c>
      <c r="H7" s="4" t="inlineStr">
        <is>
          <t>açık ve eşit koşullarda</t>
        </is>
      </c>
      <c r="I7" s="4" t="inlineStr">
        <is>
          <t>bilgilendirme amacıyla hazırla</t>
        </is>
      </c>
      <c r="J7" s="4" t="inlineStr">
        <is>
          <t>nmış olup herhangi</t>
        </is>
      </c>
    </row>
    <row r="8">
      <c r="A8" s="4" t="inlineStr">
        <is>
          <t>bir yatırım tavsiyesi vey</t>
        </is>
      </c>
      <c r="B8" s="4" t="inlineStr">
        <is>
          <t>a Pegasus tarafında</t>
        </is>
      </c>
      <c r="C8" s="4" t="inlineStr">
        <is>
          <t>n ihraç edilmiş</t>
        </is>
      </c>
      <c r="D8" s="4" t="inlineStr">
        <is>
          <t>sermaye piyas</t>
        </is>
      </c>
      <c r="E8" s="4" t="inlineStr">
        <is>
          <t>ası araçlar</t>
        </is>
      </c>
      <c r="F8" s="4" t="inlineStr">
        <is>
          <t>ına ilişkin bir i</t>
        </is>
      </c>
      <c r="G8" s="4" t="inlineStr">
        <is>
          <t>cap vey</t>
        </is>
      </c>
      <c r="H8" s="4" t="inlineStr">
        <is>
          <t>a icaba davet oluşturm</t>
        </is>
      </c>
      <c r="I8" s="4" t="inlineStr">
        <is>
          <t>amaktadır. Yatırımcıların yatı</t>
        </is>
      </c>
      <c r="J8" s="4" t="inlineStr">
        <is>
          <t>rım kararlarını farklı</t>
        </is>
      </c>
    </row>
    <row r="9">
      <c r="A9" s="4" t="inlineStr">
        <is>
          <t>kaynaklardan erişimler</t>
        </is>
      </c>
      <c r="B9" s="4" t="inlineStr">
        <is>
          <t>ine sunulan ve yatı</t>
        </is>
      </c>
      <c r="C9" s="4" t="inlineStr">
        <is>
          <t>rım kararların</t>
        </is>
      </c>
      <c r="D9" s="4" t="inlineStr">
        <is>
          <t>ı etkileyebilec</t>
        </is>
      </c>
      <c r="E9" s="4" t="inlineStr">
        <is>
          <t>ek diğer b</t>
        </is>
      </c>
      <c r="F9" s="4" t="inlineStr">
        <is>
          <t>ilgi, olay ve d</t>
        </is>
      </c>
      <c r="G9" s="4" t="inlineStr">
        <is>
          <t>uruml</t>
        </is>
      </c>
      <c r="H9" s="4" t="inlineStr">
        <is>
          <t>arın değerlendirilmes</t>
        </is>
      </c>
      <c r="I9" s="4" t="inlineStr">
        <is>
          <t>i doğrultusunda oluşturmala</t>
        </is>
      </c>
      <c r="J9" s="4" t="inlineStr">
        <is>
          <t>rı gerekmektedir.</t>
        </is>
      </c>
    </row>
    <row r="11">
      <c r="A11" s="4" t="inlineStr">
        <is>
          <t>Pegasus tarafından haz</t>
        </is>
      </c>
      <c r="B11" s="4" t="inlineStr">
        <is>
          <t>ırlanan yatırımcı bilg</t>
        </is>
      </c>
      <c r="C11" s="4" t="inlineStr">
        <is>
          <t>ilendirme bel</t>
        </is>
      </c>
      <c r="D11" s="4" t="inlineStr">
        <is>
          <t>geleri geleceğe</t>
        </is>
      </c>
      <c r="E11" s="4" t="inlineStr">
        <is>
          <t>yönelik he</t>
        </is>
      </c>
      <c r="F11" s="4" t="inlineStr">
        <is>
          <t>def veya bekl</t>
        </is>
      </c>
      <c r="G11" s="4" t="inlineStr">
        <is>
          <t>entiler</t>
        </is>
      </c>
      <c r="H11" s="4" t="inlineStr">
        <is>
          <t>içerebilir. Bu hedef ve</t>
        </is>
      </c>
      <c r="I11" s="4" t="inlineStr">
        <is>
          <t>beklentiler bu başlık ile veya</t>
        </is>
      </c>
      <c r="J11" s="4" t="inlineStr">
        <is>
          <t>“öngörülmektedir”,</t>
        </is>
      </c>
    </row>
    <row r="12">
      <c r="A12" s="4" t="inlineStr">
        <is>
          <t>“düşünülmektedir”, “ta</t>
        </is>
      </c>
      <c r="B12" s="4" t="inlineStr">
        <is>
          <t>hmin edilmektedir”,</t>
        </is>
      </c>
      <c r="C12" s="4" t="inlineStr">
        <is>
          <t>“beklenmekt</t>
        </is>
      </c>
      <c r="D12" s="4" t="inlineStr">
        <is>
          <t>edir” ve benzer</t>
        </is>
      </c>
      <c r="E12" s="4" t="inlineStr">
        <is>
          <t>ifadeler il</t>
        </is>
      </c>
      <c r="F12" s="4" t="inlineStr">
        <is>
          <t>e veya gelece</t>
        </is>
      </c>
      <c r="G12" s="4" t="inlineStr">
        <is>
          <t>k zam</t>
        </is>
      </c>
      <c r="H12" s="4" t="inlineStr">
        <is>
          <t>an kipi kullanılarak pay</t>
        </is>
      </c>
      <c r="I12" s="4" t="inlineStr">
        <is>
          <t>laşılabilir. Geleceğe yönelik h</t>
        </is>
      </c>
      <c r="J12" s="4" t="inlineStr">
        <is>
          <t>edef ve beklentiler</t>
        </is>
      </c>
    </row>
    <row r="13">
      <c r="A13" s="4" t="inlineStr">
        <is>
          <t>Pegasus’un operasyon</t>
        </is>
      </c>
      <c r="B13" s="4" t="inlineStr">
        <is>
          <t>el ve mali performan</t>
        </is>
      </c>
      <c r="C13" s="4" t="inlineStr">
        <is>
          <t>sı, büyüme ve</t>
        </is>
      </c>
      <c r="D13" s="4" t="inlineStr">
        <is>
          <t>stratejisine ve</t>
        </is>
      </c>
      <c r="E13" s="4" t="inlineStr">
        <is>
          <t>Pegasus Y</t>
        </is>
      </c>
      <c r="F13" s="4" t="inlineStr">
        <is>
          <t>önetiminin ge</t>
        </is>
      </c>
      <c r="G13" s="4" t="inlineStr">
        <is>
          <t>leceğe</t>
        </is>
      </c>
      <c r="H13" s="4" t="inlineStr">
        <is>
          <t>yönelik planlama ve h</t>
        </is>
      </c>
      <c r="I13" s="4" t="inlineStr">
        <is>
          <t>edeflerine ilişkin olabilir. Gel</t>
        </is>
      </c>
      <c r="J13" s="4" t="inlineStr">
        <is>
          <t>eceğe yönelik hedef</t>
        </is>
      </c>
    </row>
    <row r="14">
      <c r="A14" s="4" t="inlineStr">
        <is>
          <t>ve beklentilere ilişkin a</t>
        </is>
      </c>
      <c r="B14" s="4" t="inlineStr">
        <is>
          <t>çıklamalar henüz ge</t>
        </is>
      </c>
      <c r="C14" s="4" t="inlineStr">
        <is>
          <t>rçekleşmemiş</t>
        </is>
      </c>
      <c r="D14" s="4" t="inlineStr">
        <is>
          <t>konulara ilişkin</t>
        </is>
      </c>
      <c r="E14" s="4" t="inlineStr">
        <is>
          <t>dir. Gelec</t>
        </is>
      </c>
      <c r="F14" s="4" t="inlineStr">
        <is>
          <t>eğe yönelik h</t>
        </is>
      </c>
      <c r="G14" s="4" t="inlineStr">
        <is>
          <t>edef ve</t>
        </is>
      </c>
      <c r="H14" s="4" t="inlineStr">
        <is>
          <t>beklentiler makul vars</t>
        </is>
      </c>
      <c r="I14" s="4" t="inlineStr">
        <is>
          <t>ayım ve tahminlere dayandır</t>
        </is>
      </c>
      <c r="J14" s="4" t="inlineStr">
        <is>
          <t>ılır. Bununla birlikte</t>
        </is>
      </c>
    </row>
    <row r="15">
      <c r="A15" s="4" t="inlineStr">
        <is>
          <t>bu hedef ve beklentiler</t>
        </is>
      </c>
      <c r="B15" s="4" t="inlineStr">
        <is>
          <t>belirsizlik ve riskler i</t>
        </is>
      </c>
      <c r="C15" s="4" t="inlineStr">
        <is>
          <t>çermekte olup</t>
        </is>
      </c>
      <c r="D15" s="4" t="inlineStr">
        <is>
          <t>, duyurunun ya</t>
        </is>
      </c>
      <c r="E15" s="4" t="inlineStr">
        <is>
          <t>pıldığı tari</t>
        </is>
      </c>
      <c r="F15" s="4" t="inlineStr">
        <is>
          <t>h itibarıyla ge</t>
        </is>
      </c>
      <c r="G15" s="4" t="inlineStr">
        <is>
          <t>çerli he</t>
        </is>
      </c>
      <c r="H15" s="4" t="inlineStr">
        <is>
          <t>def ve beklentileri ifad</t>
        </is>
      </c>
      <c r="I15" s="4" t="inlineStr">
        <is>
          <t>e etmektedir. Birçok etken gel</t>
        </is>
      </c>
      <c r="J15" s="4" t="inlineStr">
        <is>
          <t>eceğe yönelik hedef</t>
        </is>
      </c>
    </row>
    <row r="16">
      <c r="A16" s="4" t="inlineStr">
        <is>
          <t>ve beklentilerin öngör</t>
        </is>
      </c>
      <c r="B16" s="4" t="inlineStr">
        <is>
          <t>ülenden önemli ölç</t>
        </is>
      </c>
      <c r="C16" s="4" t="inlineStr">
        <is>
          <t>üde farklı so</t>
        </is>
      </c>
      <c r="D16" s="4" t="inlineStr">
        <is>
          <t>nuçlanmasına y</t>
        </is>
      </c>
      <c r="E16" s="4" t="inlineStr">
        <is>
          <t>ol açabili</t>
        </is>
      </c>
      <c r="F16" s="4" t="inlineStr">
        <is>
          <t>r.</t>
        </is>
      </c>
    </row>
    <row r="18">
      <c r="A18" s="4" t="inlineStr">
        <is>
          <t>Pegasus geleceğe yöne</t>
        </is>
      </c>
      <c r="B18" s="4" t="inlineStr">
        <is>
          <t>lik hedef ve beklenti</t>
        </is>
      </c>
      <c r="C18" s="4" t="inlineStr">
        <is>
          <t>ler de dahil ol</t>
        </is>
      </c>
      <c r="D18" s="4" t="inlineStr">
        <is>
          <t>mak üzere bu be</t>
        </is>
      </c>
      <c r="E18" s="4" t="inlineStr">
        <is>
          <t>lgede yer</t>
        </is>
      </c>
      <c r="F18" s="4" t="inlineStr">
        <is>
          <t>alan beyanlar</t>
        </is>
      </c>
      <c r="G18" s="4" t="inlineStr">
        <is>
          <t>ın ilgili</t>
        </is>
      </c>
      <c r="H18" s="4" t="inlineStr">
        <is>
          <t>sermaye piyasası mevz</t>
        </is>
      </c>
      <c r="I18" s="4" t="inlineStr">
        <is>
          <t>uatından doğan yükümlülükle</t>
        </is>
      </c>
      <c r="J18" s="4" t="inlineStr">
        <is>
          <t>rin gereği haricinde</t>
        </is>
      </c>
    </row>
    <row r="19">
      <c r="A19" s="4" t="inlineStr">
        <is>
          <t>güncel tutulması, günc</t>
        </is>
      </c>
      <c r="B19" s="4" t="inlineStr">
        <is>
          <t>ellenmesi, yenilenm</t>
        </is>
      </c>
      <c r="C19" s="4" t="inlineStr">
        <is>
          <t>esi veya düze</t>
        </is>
      </c>
      <c r="D19" s="4" t="inlineStr">
        <is>
          <t>nli olarak bildir</t>
        </is>
      </c>
      <c r="E19" s="4" t="inlineStr">
        <is>
          <t>imi konus</t>
        </is>
      </c>
      <c r="F19" s="4" t="inlineStr">
        <is>
          <t>unda herhan</t>
        </is>
      </c>
      <c r="G19" s="4" t="inlineStr">
        <is>
          <t>gi bir t</t>
        </is>
      </c>
      <c r="H19" s="4" t="inlineStr">
        <is>
          <t>aahhütte bulunmamak</t>
        </is>
      </c>
      <c r="I19" s="4" t="inlineStr">
        <is>
          <t>tadır. Bu belgeyi herhangi bi</t>
        </is>
      </c>
      <c r="J19" s="4" t="inlineStr">
        <is>
          <t>r şekilde kullanarak</t>
        </is>
      </c>
    </row>
    <row r="20">
      <c r="A20" s="4" t="inlineStr">
        <is>
          <t>burada yer verilen uya</t>
        </is>
      </c>
      <c r="B20" s="4" t="inlineStr">
        <is>
          <t>rıları okuduğunuz,</t>
        </is>
      </c>
      <c r="C20" s="4" t="inlineStr">
        <is>
          <t>anladığınız ve</t>
        </is>
      </c>
      <c r="D20" s="4" t="inlineStr">
        <is>
          <t>kabul ettiğiniz</t>
        </is>
      </c>
      <c r="E20" s="4" t="inlineStr">
        <is>
          <t>varsayılm</t>
        </is>
      </c>
      <c r="F20" s="4" t="inlineStr">
        <is>
          <t>aktadır.</t>
        </is>
      </c>
    </row>
    <row r="22">
      <c r="A22" s="2" t="inlineStr">
        <is>
          <t>Genel (Public)</t>
        </is>
      </c>
    </row>
  </sheetData>
  <mergeCells count="1">
    <mergeCell ref="A22:J2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15" customWidth="1" min="1" max="1"/>
    <col width="13" customWidth="1" min="2" max="2"/>
    <col width="14" customWidth="1" min="3" max="3"/>
    <col width="12" customWidth="1" min="4" max="4"/>
    <col width="12" customWidth="1" min="5" max="5"/>
    <col width="13" customWidth="1" min="6" max="6"/>
    <col width="12" customWidth="1" min="7" max="7"/>
    <col width="13" customWidth="1" min="8" max="8"/>
    <col width="12" customWidth="1" min="9" max="9"/>
    <col width="12" customWidth="1" min="10" max="10"/>
    <col width="12"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6" customWidth="1" min="19" max="19"/>
    <col width="12" customWidth="1" min="20" max="20"/>
  </cols>
  <sheetData>
    <row r="1">
      <c r="A1" s="4" t="inlineStr">
        <is>
          <t>P E</t>
        </is>
      </c>
      <c r="B1" s="4" t="inlineStr">
        <is>
          <t>G A S U</t>
        </is>
      </c>
      <c r="C1" s="4" t="inlineStr">
        <is>
          <t>S H A V A</t>
        </is>
      </c>
      <c r="D1" s="4" t="inlineStr">
        <is>
          <t>T A</t>
        </is>
      </c>
      <c r="E1" s="4" t="inlineStr">
        <is>
          <t>Ş I</t>
        </is>
      </c>
      <c r="F1" s="4" t="inlineStr">
        <is>
          <t>M A C I L</t>
        </is>
      </c>
      <c r="G1" s="4" t="inlineStr">
        <is>
          <t>I</t>
        </is>
      </c>
      <c r="H1" s="4" t="inlineStr">
        <is>
          <t>Ğ I A . Ş .</t>
        </is>
      </c>
    </row>
    <row r="3">
      <c r="A3" s="4" t="inlineStr">
        <is>
          <t>O C</t>
        </is>
      </c>
      <c r="B3" s="4" t="inlineStr">
        <is>
          <t>A K 2</t>
        </is>
      </c>
      <c r="C3" s="4" t="inlineStr">
        <is>
          <t>0 2 6 T R A</t>
        </is>
      </c>
      <c r="D3" s="4" t="inlineStr">
        <is>
          <t>F İ K</t>
        </is>
      </c>
      <c r="E3" s="4" t="inlineStr">
        <is>
          <t>S O</t>
        </is>
      </c>
      <c r="F3" s="4" t="inlineStr">
        <is>
          <t>N U Ç L</t>
        </is>
      </c>
      <c r="G3" s="4" t="inlineStr">
        <is>
          <t>A</t>
        </is>
      </c>
      <c r="H3" s="4" t="inlineStr">
        <is>
          <t>R I</t>
        </is>
      </c>
    </row>
    <row r="5">
      <c r="A5" s="4" t="inlineStr">
        <is>
          <t>A</t>
        </is>
      </c>
      <c r="B5" s="4" t="inlineStr">
        <is>
          <t>Y L I K</t>
        </is>
      </c>
    </row>
    <row r="7">
      <c r="A7" s="4" t="inlineStr">
        <is>
          <t>O c a</t>
        </is>
      </c>
      <c r="B7" s="4" t="inlineStr">
        <is>
          <t>k</t>
        </is>
      </c>
      <c r="C7" s="4" t="inlineStr">
        <is>
          <t>O c a</t>
        </is>
      </c>
      <c r="D7" s="4" t="inlineStr">
        <is>
          <t>k ' 2 6</t>
        </is>
      </c>
      <c r="E7" s="4" t="inlineStr">
        <is>
          <t>/ '</t>
        </is>
      </c>
    </row>
    <row r="9">
      <c r="A9" s="4" t="inlineStr">
        <is>
          <t>2 0 2</t>
        </is>
      </c>
      <c r="B9" s="5" t="n">
        <v>6</v>
      </c>
      <c r="C9" s="5" t="n">
        <v>202</v>
      </c>
      <c r="D9" s="7" t="n">
        <v>0.05</v>
      </c>
      <c r="E9" s="4" t="inlineStr">
        <is>
          <t>D</t>
        </is>
      </c>
    </row>
    <row r="11">
      <c r="A11" s="4" t="inlineStr">
        <is>
          <t>M i s a f i r</t>
        </is>
      </c>
      <c r="B11" s="4" t="inlineStr">
        <is>
          <t>s</t>
        </is>
      </c>
      <c r="C11" s="4" t="inlineStr">
        <is>
          <t>a y ı s ı ,</t>
        </is>
      </c>
      <c r="D11" s="4" t="inlineStr">
        <is>
          <t>m</t>
        </is>
      </c>
      <c r="E11" s="4" t="inlineStr">
        <is>
          <t>n</t>
        </is>
      </c>
      <c r="F11" s="6" t="n">
        <v>3.5</v>
      </c>
      <c r="G11" s="5" t="n">
        <v>5</v>
      </c>
      <c r="H11" s="6" t="n">
        <v>3.1</v>
      </c>
      <c r="I11" s="5" t="n">
        <v>91</v>
      </c>
      <c r="J11" s="5" t="n">
        <v>1</v>
      </c>
    </row>
    <row r="13">
      <c r="A13" s="4" t="inlineStr">
        <is>
          <t>K</t>
        </is>
      </c>
      <c r="B13" s="4" t="inlineStr">
        <is>
          <t>o n m a</t>
        </is>
      </c>
      <c r="C13" s="6" t="n">
        <v>19.4</v>
      </c>
      <c r="D13" s="5" t="n">
        <v>26</v>
      </c>
      <c r="E13" s="5" t="n">
        <v>1</v>
      </c>
      <c r="F13" s="6" t="n">
        <v>7.8</v>
      </c>
      <c r="G13" s="5" t="n">
        <v>53</v>
      </c>
      <c r="H13" s="7" t="n">
        <v>0.09</v>
      </c>
    </row>
    <row r="15">
      <c r="A15" s="4" t="inlineStr">
        <is>
          <t>K</t>
        </is>
      </c>
      <c r="B15" s="4" t="inlineStr">
        <is>
          <t>o lt u k</t>
        </is>
      </c>
      <c r="C15" s="4" t="inlineStr">
        <is>
          <t>s a</t>
        </is>
      </c>
      <c r="D15" s="4" t="inlineStr">
        <is>
          <t>y ı s ı ,</t>
        </is>
      </c>
      <c r="E15" s="4" t="inlineStr">
        <is>
          <t>m n</t>
        </is>
      </c>
      <c r="F15" s="5" t="n">
        <v>4</v>
      </c>
      <c r="G15" s="5" t="n">
        <v>8</v>
      </c>
      <c r="H15" s="6" t="n">
        <v>3.7</v>
      </c>
      <c r="I15" s="5" t="n">
        <v>4</v>
      </c>
      <c r="J15" s="7" t="n">
        <v>0.09</v>
      </c>
    </row>
    <row r="17">
      <c r="A17" s="4" t="inlineStr">
        <is>
          <t>T o</t>
        </is>
      </c>
      <c r="B17" s="4" t="inlineStr">
        <is>
          <t>p l a m</t>
        </is>
      </c>
    </row>
    <row r="18">
      <c r="A18" s="4" t="inlineStr">
        <is>
          <t>D</t>
        </is>
      </c>
      <c r="B18" s="4" t="inlineStr">
        <is>
          <t>o l u l u</t>
        </is>
      </c>
      <c r="C18" s="4" t="inlineStr">
        <is>
          <t>k</t>
        </is>
      </c>
      <c r="D18" s="4" t="inlineStr">
        <is>
          <t>O r a n ı</t>
        </is>
      </c>
      <c r="E18" s="6" t="n">
        <v>87.09999999999999</v>
      </c>
      <c r="F18" s="4" t="inlineStr">
        <is>
          <t>%</t>
        </is>
      </c>
      <c r="G18" s="6" t="n">
        <v>85.3</v>
      </c>
      <c r="H18" s="7" t="n">
        <v>0.01</v>
      </c>
      <c r="I18" s="6" t="n">
        <v>0.8</v>
      </c>
    </row>
    <row r="20">
      <c r="A20" s="4" t="inlineStr">
        <is>
          <t>A</t>
        </is>
      </c>
      <c r="B20" s="4" t="inlineStr">
        <is>
          <t>S K (</t>
        </is>
      </c>
      <c r="C20" s="4" t="inlineStr">
        <is>
          <t>m l</t>
        </is>
      </c>
      <c r="D20" s="4" t="inlineStr">
        <is>
          <t>n k m )</t>
        </is>
      </c>
      <c r="E20" s="6" t="n">
        <v>6.36</v>
      </c>
      <c r="F20" s="5" t="n">
        <v>4</v>
      </c>
      <c r="G20" s="6" t="n">
        <v>5.7</v>
      </c>
      <c r="H20" s="5" t="n">
        <v>101</v>
      </c>
      <c r="I20" s="5" t="n">
        <v>1</v>
      </c>
    </row>
    <row r="22">
      <c r="A22" s="4" t="inlineStr">
        <is>
          <t>K</t>
        </is>
      </c>
      <c r="B22" s="4" t="inlineStr">
        <is>
          <t>o n m a</t>
        </is>
      </c>
      <c r="C22" s="4" t="inlineStr">
        <is>
          <t>b</t>
        </is>
      </c>
      <c r="D22" s="4" t="inlineStr">
        <is>
          <t>a ş ı n a</t>
        </is>
      </c>
      <c r="E22" s="4" t="inlineStr">
        <is>
          <t>M i</t>
        </is>
      </c>
      <c r="F22" s="4" t="inlineStr">
        <is>
          <t>s a</t>
        </is>
      </c>
      <c r="G22" s="4" t="inlineStr">
        <is>
          <t>f i</t>
        </is>
      </c>
      <c r="H22" s="4" t="inlineStr">
        <is>
          <t>r</t>
        </is>
      </c>
      <c r="I22" s="5" t="n">
        <v>18</v>
      </c>
      <c r="J22" s="5" t="n">
        <v>3</v>
      </c>
      <c r="K22" s="5" t="n">
        <v>17</v>
      </c>
      <c r="L22" s="5" t="n">
        <v>9</v>
      </c>
      <c r="M22" s="7" t="n">
        <v>0.02</v>
      </c>
    </row>
    <row r="24">
      <c r="A24" s="4" t="inlineStr">
        <is>
          <t>M i s a f i r</t>
        </is>
      </c>
      <c r="B24" s="4" t="inlineStr">
        <is>
          <t>s</t>
        </is>
      </c>
      <c r="C24" s="4" t="inlineStr">
        <is>
          <t>a y ı s ı ,</t>
        </is>
      </c>
      <c r="D24" s="4" t="inlineStr">
        <is>
          <t>m</t>
        </is>
      </c>
      <c r="E24" s="4" t="inlineStr">
        <is>
          <t>n</t>
        </is>
      </c>
      <c r="F24" s="6" t="n">
        <v>1.3</v>
      </c>
      <c r="G24" s="5" t="n">
        <v>3</v>
      </c>
      <c r="H24" s="6" t="n">
        <v>1.2</v>
      </c>
      <c r="I24" s="5" t="n">
        <v>11</v>
      </c>
      <c r="J24" s="5" t="n">
        <v>0</v>
      </c>
    </row>
    <row r="26">
      <c r="A26" s="4" t="inlineStr">
        <is>
          <t>K</t>
        </is>
      </c>
      <c r="B26" s="4" t="inlineStr">
        <is>
          <t>o n m a</t>
        </is>
      </c>
      <c r="C26" s="6" t="n">
        <v>6.88</v>
      </c>
      <c r="D26" s="5" t="n">
        <v>6</v>
      </c>
      <c r="E26" s="6" t="n">
        <v>6.4</v>
      </c>
      <c r="F26" s="5" t="n">
        <v>31</v>
      </c>
      <c r="G26" s="7" t="n">
        <v>0.07000000000000001</v>
      </c>
    </row>
    <row r="28">
      <c r="A28" s="4" t="inlineStr">
        <is>
          <t>K</t>
        </is>
      </c>
      <c r="B28" s="4" t="inlineStr">
        <is>
          <t>o lt u k</t>
        </is>
      </c>
      <c r="C28" s="4" t="inlineStr">
        <is>
          <t>s a</t>
        </is>
      </c>
      <c r="D28" s="4" t="inlineStr">
        <is>
          <t>y ı s ı ,</t>
        </is>
      </c>
      <c r="E28" s="4" t="inlineStr">
        <is>
          <t>m n</t>
        </is>
      </c>
      <c r="F28" s="6" t="n">
        <v>1.4</v>
      </c>
      <c r="G28" s="5" t="n">
        <v>4</v>
      </c>
      <c r="H28" s="6" t="n">
        <v>1.3</v>
      </c>
      <c r="I28" s="5" t="n">
        <v>4</v>
      </c>
      <c r="J28" s="7" t="n">
        <v>0.08</v>
      </c>
    </row>
    <row r="30">
      <c r="A30" s="4" t="inlineStr">
        <is>
          <t>İ ç</t>
        </is>
      </c>
      <c r="B30" s="4" t="inlineStr">
        <is>
          <t>H a t l a</t>
        </is>
      </c>
      <c r="C30" s="4" t="inlineStr">
        <is>
          <t>r</t>
        </is>
      </c>
    </row>
    <row r="31">
      <c r="A31" s="4" t="inlineStr">
        <is>
          <t>D</t>
        </is>
      </c>
      <c r="B31" s="4" t="inlineStr">
        <is>
          <t>o l u l u</t>
        </is>
      </c>
      <c r="C31" s="4" t="inlineStr">
        <is>
          <t>k</t>
        </is>
      </c>
      <c r="D31" s="4" t="inlineStr">
        <is>
          <t>O r a n ı</t>
        </is>
      </c>
      <c r="E31" s="6" t="n">
        <v>92.3</v>
      </c>
      <c r="F31" s="4" t="inlineStr">
        <is>
          <t>%</t>
        </is>
      </c>
      <c r="G31" s="5" t="n">
        <v>90</v>
      </c>
      <c r="H31" s="7" t="n">
        <v>0.02</v>
      </c>
      <c r="I31" s="6" t="n">
        <v>0.3</v>
      </c>
    </row>
    <row r="33">
      <c r="A33" s="4" t="inlineStr">
        <is>
          <t>A</t>
        </is>
      </c>
      <c r="B33" s="4" t="inlineStr">
        <is>
          <t>S K (</t>
        </is>
      </c>
      <c r="C33" s="4" t="inlineStr">
        <is>
          <t>m l</t>
        </is>
      </c>
      <c r="D33" s="4" t="inlineStr">
        <is>
          <t>n k m )</t>
        </is>
      </c>
      <c r="E33" s="6" t="n">
        <v>1.12</v>
      </c>
      <c r="F33" s="5" t="n">
        <v>5</v>
      </c>
      <c r="G33" s="5" t="n">
        <v>1</v>
      </c>
      <c r="H33" s="5" t="n">
        <v>221</v>
      </c>
      <c r="I33" s="5" t="n">
        <v>0</v>
      </c>
    </row>
    <row r="35">
      <c r="A35" s="4" t="inlineStr">
        <is>
          <t>K</t>
        </is>
      </c>
      <c r="B35" s="4" t="inlineStr">
        <is>
          <t>o n m a</t>
        </is>
      </c>
      <c r="C35" s="4" t="inlineStr">
        <is>
          <t>b</t>
        </is>
      </c>
      <c r="D35" s="4" t="inlineStr">
        <is>
          <t>a ş ı n a</t>
        </is>
      </c>
      <c r="E35" s="4" t="inlineStr">
        <is>
          <t>M i</t>
        </is>
      </c>
      <c r="F35" s="4" t="inlineStr">
        <is>
          <t>s a</t>
        </is>
      </c>
      <c r="G35" s="4" t="inlineStr">
        <is>
          <t>f i</t>
        </is>
      </c>
      <c r="H35" s="4" t="inlineStr">
        <is>
          <t>r</t>
        </is>
      </c>
      <c r="I35" s="5" t="n">
        <v>19</v>
      </c>
      <c r="J35" s="5" t="n">
        <v>3</v>
      </c>
      <c r="K35" s="5" t="n">
        <v>18</v>
      </c>
      <c r="L35" s="5" t="n">
        <v>8</v>
      </c>
      <c r="M35" s="7" t="n">
        <v>0.03</v>
      </c>
    </row>
    <row r="37">
      <c r="A37" s="4" t="inlineStr">
        <is>
          <t>M i s a f i r</t>
        </is>
      </c>
      <c r="B37" s="4" t="inlineStr">
        <is>
          <t>s</t>
        </is>
      </c>
      <c r="C37" s="4" t="inlineStr">
        <is>
          <t>a y ı s ı ,</t>
        </is>
      </c>
      <c r="D37" s="4" t="inlineStr">
        <is>
          <t>m</t>
        </is>
      </c>
      <c r="E37" s="4" t="inlineStr">
        <is>
          <t>n</t>
        </is>
      </c>
      <c r="F37" s="6" t="n">
        <v>2.2</v>
      </c>
      <c r="G37" s="5" t="n">
        <v>2</v>
      </c>
      <c r="H37" s="6" t="n">
        <v>1.9</v>
      </c>
      <c r="I37" s="5" t="n">
        <v>81</v>
      </c>
      <c r="J37" s="5" t="n">
        <v>2</v>
      </c>
    </row>
    <row r="39">
      <c r="A39" s="4" t="inlineStr">
        <is>
          <t>K</t>
        </is>
      </c>
      <c r="B39" s="4" t="inlineStr">
        <is>
          <t>o n m a</t>
        </is>
      </c>
      <c r="C39" s="6" t="n">
        <v>12.5</v>
      </c>
      <c r="D39" s="5" t="n">
        <v>40</v>
      </c>
      <c r="E39" s="5" t="n">
        <v>1</v>
      </c>
      <c r="F39" s="6" t="n">
        <v>1.4</v>
      </c>
      <c r="G39" s="5" t="n">
        <v>221</v>
      </c>
      <c r="H39" s="5" t="n">
        <v>0</v>
      </c>
    </row>
    <row r="41">
      <c r="A41" s="4" t="inlineStr">
        <is>
          <t>K</t>
        </is>
      </c>
      <c r="B41" s="4" t="inlineStr">
        <is>
          <t>o lt u k</t>
        </is>
      </c>
      <c r="C41" s="4" t="inlineStr">
        <is>
          <t>s a</t>
        </is>
      </c>
      <c r="D41" s="4" t="inlineStr">
        <is>
          <t>y ı s ı ,</t>
        </is>
      </c>
      <c r="E41" s="4" t="inlineStr">
        <is>
          <t>m n</t>
        </is>
      </c>
      <c r="F41" s="6" t="n">
        <v>2.6</v>
      </c>
      <c r="G41" s="5" t="n">
        <v>4</v>
      </c>
      <c r="H41" s="6" t="n">
        <v>2.4</v>
      </c>
      <c r="I41" s="5" t="n">
        <v>1</v>
      </c>
      <c r="J41" s="5" t="n">
        <v>0</v>
      </c>
    </row>
    <row r="43">
      <c r="A43" s="4" t="inlineStr">
        <is>
          <t>D ı</t>
        </is>
      </c>
      <c r="B43" s="4" t="inlineStr">
        <is>
          <t>ş H a t</t>
        </is>
      </c>
      <c r="C43" s="4" t="inlineStr">
        <is>
          <t>l a r *</t>
        </is>
      </c>
    </row>
    <row r="45">
      <c r="A45" s="4" t="inlineStr">
        <is>
          <t>D</t>
        </is>
      </c>
      <c r="B45" s="4" t="inlineStr">
        <is>
          <t>o l u l u</t>
        </is>
      </c>
      <c r="C45" s="4" t="inlineStr">
        <is>
          <t>k</t>
        </is>
      </c>
      <c r="D45" s="4" t="inlineStr">
        <is>
          <t>O r a n ı</t>
        </is>
      </c>
      <c r="E45" s="6" t="n">
        <v>84.2</v>
      </c>
      <c r="F45" s="4" t="inlineStr">
        <is>
          <t>%</t>
        </is>
      </c>
      <c r="G45" s="6" t="n">
        <v>82.59999999999999</v>
      </c>
      <c r="H45" s="7" t="n">
        <v>0.01</v>
      </c>
      <c r="I45" s="6" t="n">
        <v>0.6</v>
      </c>
    </row>
    <row r="47">
      <c r="A47" s="4" t="inlineStr">
        <is>
          <t>A</t>
        </is>
      </c>
      <c r="B47" s="4" t="inlineStr">
        <is>
          <t>S K (</t>
        </is>
      </c>
      <c r="C47" s="4" t="inlineStr">
        <is>
          <t>m l</t>
        </is>
      </c>
      <c r="D47" s="4" t="inlineStr">
        <is>
          <t>n k m )</t>
        </is>
      </c>
      <c r="E47" s="6" t="n">
        <v>5.23</v>
      </c>
      <c r="F47" s="5" t="n">
        <v>9</v>
      </c>
      <c r="G47" s="6" t="n">
        <v>4.6</v>
      </c>
      <c r="H47" s="5" t="n">
        <v>881</v>
      </c>
      <c r="I47" s="5" t="n">
        <v>2</v>
      </c>
    </row>
    <row r="49">
      <c r="A49" s="4" t="inlineStr">
        <is>
          <t>K</t>
        </is>
      </c>
      <c r="B49" s="4" t="inlineStr">
        <is>
          <t>o n m a</t>
        </is>
      </c>
      <c r="C49" s="4" t="inlineStr">
        <is>
          <t>b</t>
        </is>
      </c>
      <c r="D49" s="4" t="inlineStr">
        <is>
          <t>a ş ı n a</t>
        </is>
      </c>
      <c r="E49" s="4" t="inlineStr">
        <is>
          <t>M i</t>
        </is>
      </c>
      <c r="F49" s="4" t="inlineStr">
        <is>
          <t>s a</t>
        </is>
      </c>
      <c r="G49" s="4" t="inlineStr">
        <is>
          <t>f i</t>
        </is>
      </c>
      <c r="H49" s="4" t="inlineStr">
        <is>
          <t>r</t>
        </is>
      </c>
      <c r="I49" s="5" t="n">
        <v>17</v>
      </c>
      <c r="J49" s="5" t="n">
        <v>7</v>
      </c>
      <c r="K49" s="5" t="n">
        <v>17</v>
      </c>
      <c r="L49" s="5" t="n">
        <v>4</v>
      </c>
      <c r="M49" s="7" t="n">
        <v>0.02</v>
      </c>
    </row>
    <row r="51">
      <c r="A51" s="4" t="inlineStr">
        <is>
          <t>* C</t>
        </is>
      </c>
      <c r="B51" s="4" t="inlineStr">
        <is>
          <t>h a r t e r</t>
        </is>
      </c>
      <c r="C51" s="4" t="inlineStr">
        <is>
          <t>d a h il</t>
        </is>
      </c>
    </row>
    <row r="53">
      <c r="A53" s="4" t="inlineStr">
        <is>
          <t>K a</t>
        </is>
      </c>
      <c r="B53" s="4" t="inlineStr">
        <is>
          <t>r b o n</t>
        </is>
      </c>
      <c r="C53" s="4" t="inlineStr">
        <is>
          <t>E m i s y o</t>
        </is>
      </c>
      <c r="D53" s="4" t="inlineStr">
        <is>
          <t>n u</t>
        </is>
      </c>
      <c r="E53" s="4" t="inlineStr">
        <is>
          <t>İ s t</t>
        </is>
      </c>
      <c r="F53" s="4" t="inlineStr">
        <is>
          <t>a t i s t i</t>
        </is>
      </c>
      <c r="G53" s="4" t="inlineStr">
        <is>
          <t>k l</t>
        </is>
      </c>
      <c r="H53" s="4" t="inlineStr">
        <is>
          <t>e r i</t>
        </is>
      </c>
    </row>
    <row r="55">
      <c r="A55" s="4" t="inlineStr">
        <is>
          <t>A Y L</t>
        </is>
      </c>
      <c r="B55" s="4" t="inlineStr">
        <is>
          <t>I K</t>
        </is>
      </c>
      <c r="C55" s="5" t="n">
        <v>202</v>
      </c>
      <c r="D55" s="5" t="n">
        <v>62</v>
      </c>
      <c r="E55" s="5" t="n">
        <v>2</v>
      </c>
    </row>
    <row r="57">
      <c r="A57" s="4" t="inlineStr">
        <is>
          <t>C O</t>
        </is>
      </c>
      <c r="B57" s="4" t="inlineStr">
        <is>
          <t>2 g r a</t>
        </is>
      </c>
      <c r="C57" s="4" t="inlineStr">
        <is>
          <t>m / R P K</t>
        </is>
      </c>
      <c r="D57" s="4" t="inlineStr">
        <is>
          <t>O c a</t>
        </is>
      </c>
      <c r="E57" s="4" t="inlineStr">
        <is>
          <t>k</t>
        </is>
      </c>
      <c r="F57" s="5" t="n">
        <v>57</v>
      </c>
      <c r="G57" s="5" t="n">
        <v>25</v>
      </c>
      <c r="H57" s="5" t="n">
        <v>8</v>
      </c>
    </row>
    <row r="59">
      <c r="A59" s="4" t="inlineStr">
        <is>
          <t>Y I L L</t>
        </is>
      </c>
      <c r="B59" s="4" t="inlineStr">
        <is>
          <t>I K</t>
        </is>
      </c>
    </row>
    <row r="61">
      <c r="A61" s="4" t="inlineStr">
        <is>
          <t>C O</t>
        </is>
      </c>
      <c r="B61" s="4" t="inlineStr">
        <is>
          <t>2 g r a</t>
        </is>
      </c>
      <c r="C61" s="4" t="inlineStr">
        <is>
          <t>m / R P K</t>
        </is>
      </c>
      <c r="D61" s="5" t="n">
        <v>2019</v>
      </c>
      <c r="E61" s="5" t="n">
        <v>65</v>
      </c>
      <c r="F61" s="4" t="inlineStr">
        <is>
          <t>.</t>
        </is>
      </c>
      <c r="G61" s="5" t="n">
        <v>1</v>
      </c>
      <c r="H61" s="5" t="n">
        <v>20236</v>
      </c>
      <c r="I61" s="5" t="n">
        <v>1</v>
      </c>
    </row>
    <row r="63">
      <c r="A63" s="4" t="inlineStr">
        <is>
          <t>2 0 2 0</t>
        </is>
      </c>
      <c r="B63" s="5" t="n">
        <v>71</v>
      </c>
      <c r="C63" s="4" t="inlineStr">
        <is>
          <t>.</t>
        </is>
      </c>
      <c r="D63" s="5" t="n">
        <v>3</v>
      </c>
      <c r="E63" s="5" t="n">
        <v>20245</v>
      </c>
      <c r="F63" s="5" t="n">
        <v>8</v>
      </c>
    </row>
    <row r="65">
      <c r="A65" s="4" t="inlineStr">
        <is>
          <t>2 0 2 1</t>
        </is>
      </c>
      <c r="B65" s="5" t="n">
        <v>71</v>
      </c>
      <c r="C65" s="4" t="inlineStr">
        <is>
          <t>.</t>
        </is>
      </c>
      <c r="D65" s="5" t="n">
        <v>0</v>
      </c>
      <c r="E65" s="5" t="n">
        <v>20255</v>
      </c>
      <c r="F65" s="5" t="n">
        <v>6</v>
      </c>
    </row>
    <row r="67">
      <c r="A67" s="4" t="inlineStr">
        <is>
          <t>2 0 2 2</t>
        </is>
      </c>
      <c r="B67" s="5" t="n">
        <v>62</v>
      </c>
      <c r="C67" s="4" t="inlineStr">
        <is>
          <t>.</t>
        </is>
      </c>
      <c r="D67" s="5" t="n">
        <v>1</v>
      </c>
    </row>
    <row r="68">
      <c r="A68" s="4" t="inlineStr">
        <is>
          <t>Kar</t>
        </is>
      </c>
      <c r="B68" s="4" t="inlineStr">
        <is>
          <t>bon E</t>
        </is>
      </c>
      <c r="C68" s="4" t="inlineStr">
        <is>
          <t>misyonu</t>
        </is>
      </c>
      <c r="D68" s="4" t="inlineStr">
        <is>
          <t>İsta</t>
        </is>
      </c>
      <c r="E68" s="4" t="inlineStr">
        <is>
          <t>tist</t>
        </is>
      </c>
      <c r="F68" s="4" t="inlineStr">
        <is>
          <t>iklerin</t>
        </is>
      </c>
      <c r="G68" s="4" t="inlineStr">
        <is>
          <t>de</t>
        </is>
      </c>
      <c r="H68" s="4" t="inlineStr">
        <is>
          <t>(grCO</t>
        </is>
      </c>
      <c r="I68" s="4" t="inlineStr">
        <is>
          <t>2/R</t>
        </is>
      </c>
      <c r="J68" s="4" t="inlineStr">
        <is>
          <t>P</t>
        </is>
      </c>
      <c r="K68" s="4" t="inlineStr">
        <is>
          <t>K</t>
        </is>
      </c>
      <c r="L68" s="4" t="inlineStr">
        <is>
          <t>) jet yakıtı</t>
        </is>
      </c>
      <c r="M68" s="4" t="inlineStr">
        <is>
          <t>emisyon k</t>
        </is>
      </c>
      <c r="N68" s="4" t="inlineStr">
        <is>
          <t>ats</t>
        </is>
      </c>
      <c r="O68" s="4" t="inlineStr">
        <is>
          <t>ay</t>
        </is>
      </c>
      <c r="P68" s="4" t="inlineStr">
        <is>
          <t>ı</t>
        </is>
      </c>
      <c r="Q68" s="4" t="inlineStr">
        <is>
          <t>sı baz yı</t>
        </is>
      </c>
      <c r="R68" s="4" t="inlineStr">
        <is>
          <t>l ve</t>
        </is>
      </c>
      <c r="S68" s="4" t="inlineStr">
        <is>
          <t>tüm raporlanan</t>
        </is>
      </c>
      <c r="T68" s="4" t="inlineStr">
        <is>
          <t>d</t>
        </is>
      </c>
    </row>
    <row r="69">
      <c r="A69" s="4" t="inlineStr">
        <is>
          <t>çin</t>
        </is>
      </c>
      <c r="B69" s="6" t="n">
        <v>3.16</v>
      </c>
      <c r="C69" s="4" t="inlineStr">
        <is>
          <t>olarak kul</t>
        </is>
      </c>
      <c r="D69" s="4" t="inlineStr">
        <is>
          <t>lanı</t>
        </is>
      </c>
      <c r="E69" s="4" t="inlineStr">
        <is>
          <t>lmı</t>
        </is>
      </c>
      <c r="F69" s="4" t="inlineStr">
        <is>
          <t>ştır.</t>
        </is>
      </c>
    </row>
    <row r="71">
      <c r="A71" s="4" t="inlineStr">
        <is>
          <t>Arz</t>
        </is>
      </c>
      <c r="B71" s="4" t="inlineStr">
        <is>
          <t>edilen</t>
        </is>
      </c>
      <c r="C71" s="4" t="inlineStr">
        <is>
          <t>Koltuk Kilo</t>
        </is>
      </c>
      <c r="D71" s="4" t="inlineStr">
        <is>
          <t>me</t>
        </is>
      </c>
      <c r="E71" s="4" t="inlineStr">
        <is>
          <t>tre</t>
        </is>
      </c>
      <c r="F71" s="4" t="inlineStr">
        <is>
          <t>(ASK) =</t>
        </is>
      </c>
      <c r="G71" s="4" t="inlineStr">
        <is>
          <t>U</t>
        </is>
      </c>
      <c r="H71" s="4" t="inlineStr">
        <is>
          <t>çuşa arz</t>
        </is>
      </c>
      <c r="I71" s="4" t="inlineStr">
        <is>
          <t>ed</t>
        </is>
      </c>
      <c r="J71" s="4" t="inlineStr">
        <is>
          <t>ile</t>
        </is>
      </c>
      <c r="K71" s="4" t="inlineStr">
        <is>
          <t>n</t>
        </is>
      </c>
      <c r="L71" s="4" t="inlineStr">
        <is>
          <t>koltuk sayı</t>
        </is>
      </c>
      <c r="M71" s="4" t="inlineStr">
        <is>
          <t>sı x Ortalam</t>
        </is>
      </c>
      <c r="N71" s="4" t="inlineStr">
        <is>
          <t>a</t>
        </is>
      </c>
      <c r="O71" s="4" t="inlineStr">
        <is>
          <t>Uçu</t>
        </is>
      </c>
      <c r="P71" s="4" t="inlineStr">
        <is>
          <t>ş Mesafes</t>
        </is>
      </c>
      <c r="Q71" s="4" t="inlineStr">
        <is>
          <t>i</t>
        </is>
      </c>
    </row>
    <row r="73">
      <c r="A73" s="4" t="inlineStr">
        <is>
          <t>Dol</t>
        </is>
      </c>
      <c r="B73" s="4" t="inlineStr">
        <is>
          <t>uluk O</t>
        </is>
      </c>
      <c r="C73" s="4" t="inlineStr">
        <is>
          <t>ranı = Bilet</t>
        </is>
      </c>
      <c r="D73" s="4" t="inlineStr">
        <is>
          <t>len</t>
        </is>
      </c>
      <c r="E73" s="4" t="inlineStr">
        <is>
          <t>miş</t>
        </is>
      </c>
      <c r="F73" s="4" t="inlineStr">
        <is>
          <t>misafir</t>
        </is>
      </c>
      <c r="G73" s="4" t="inlineStr">
        <is>
          <t>s</t>
        </is>
      </c>
      <c r="H73" s="4" t="inlineStr">
        <is>
          <t>ayısı / To</t>
        </is>
      </c>
      <c r="I73" s="4" t="inlineStr">
        <is>
          <t>pl</t>
        </is>
      </c>
      <c r="J73" s="4" t="inlineStr">
        <is>
          <t>am</t>
        </is>
      </c>
      <c r="K73" s="4" t="inlineStr">
        <is>
          <t>k</t>
        </is>
      </c>
      <c r="L73" s="4" t="inlineStr">
        <is>
          <t>oltuk sayısı</t>
        </is>
      </c>
    </row>
    <row r="75">
      <c r="A75" s="4" t="inlineStr">
        <is>
          <t>RPK</t>
        </is>
      </c>
      <c r="B75" s="4" t="inlineStr">
        <is>
          <t>(Reve</t>
        </is>
      </c>
      <c r="C75" s="4" t="inlineStr">
        <is>
          <t>nue Passe</t>
        </is>
      </c>
      <c r="D75" s="4" t="inlineStr">
        <is>
          <t>nger</t>
        </is>
      </c>
      <c r="E75" s="4" t="inlineStr">
        <is>
          <t>Kil</t>
        </is>
      </c>
      <c r="F75" s="4" t="inlineStr">
        <is>
          <t>ometer</t>
        </is>
      </c>
      <c r="G75" s="4" t="inlineStr">
        <is>
          <t>):</t>
        </is>
      </c>
      <c r="H75" s="4" t="inlineStr">
        <is>
          <t>Ücretli Y</t>
        </is>
      </c>
      <c r="I75" s="4" t="inlineStr">
        <is>
          <t>ol</t>
        </is>
      </c>
      <c r="J75" s="4" t="inlineStr">
        <is>
          <t>cu</t>
        </is>
      </c>
      <c r="K75" s="4" t="inlineStr">
        <is>
          <t>Ki</t>
        </is>
      </c>
      <c r="L75" s="4" t="inlineStr">
        <is>
          <t>lometre</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6" customWidth="1" min="2" max="2"/>
    <col width="22" customWidth="1" min="3" max="3"/>
    <col width="17" customWidth="1" min="4" max="4"/>
    <col width="19" customWidth="1" min="5" max="5"/>
    <col width="25" customWidth="1" min="6" max="6"/>
    <col width="15" customWidth="1" min="7" max="7"/>
    <col width="25" customWidth="1" min="8" max="8"/>
    <col width="26" customWidth="1" min="9" max="9"/>
    <col width="23" customWidth="1" min="10" max="10"/>
  </cols>
  <sheetData>
    <row r="1">
      <c r="A1" s="4" t="inlineStr">
        <is>
          <t>Bu belge Pegasus Hava</t>
        </is>
      </c>
      <c r="B1" s="4" t="inlineStr">
        <is>
          <t>Taşımacılığı</t>
        </is>
      </c>
      <c r="C1" s="4" t="inlineStr">
        <is>
          <t>Anonim Şirketi (“P</t>
        </is>
      </c>
      <c r="D1" s="4" t="inlineStr">
        <is>
          <t>egasus”) tara</t>
        </is>
      </c>
      <c r="E1" s="4" t="inlineStr">
        <is>
          <t>fından Pegasus</t>
        </is>
      </c>
      <c r="F1" s="4" t="inlineStr">
        <is>
          <t>Bilgilendirme Politik</t>
        </is>
      </c>
      <c r="G1" s="4" t="inlineStr">
        <is>
          <t>ası uyarınca</t>
        </is>
      </c>
      <c r="H1" s="4" t="inlineStr">
        <is>
          <t>hazırlanmıştır. Bu be</t>
        </is>
      </c>
      <c r="I1" s="4" t="inlineStr">
        <is>
          <t>lgede yer alan bilgile</t>
        </is>
      </c>
      <c r="J1" s="4" t="inlineStr">
        <is>
          <t>r Pegasus’un kendi</t>
        </is>
      </c>
    </row>
    <row r="2">
      <c r="A2" s="3" t="inlineStr">
        <is>
          <t>kayıtlarına, Pegasus’un</t>
        </is>
      </c>
      <c r="B2" s="3" t="inlineStr">
        <is>
          <t>faaliyet göst</t>
        </is>
      </c>
      <c r="C2" s="3" t="inlineStr">
        <is>
          <t>erdiği pazarlara ait</t>
        </is>
      </c>
      <c r="D2" s="3" t="inlineStr">
        <is>
          <t>kendi bilgi v</t>
        </is>
      </c>
      <c r="E2" s="3" t="inlineStr">
        <is>
          <t>e tecrübeleri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t>
        </is>
      </c>
      <c r="C3" s="4" t="inlineStr">
        <is>
          <t>piyasa ve benzeri</t>
        </is>
      </c>
      <c r="D3" s="4" t="inlineStr">
        <is>
          <t>konulara iliş</t>
        </is>
      </c>
      <c r="E3" s="4" t="inlineStr">
        <is>
          <t>kin verilere daya</t>
        </is>
      </c>
      <c r="F3" s="4" t="inlineStr">
        <is>
          <t>nmaktadır ve dış ka</t>
        </is>
      </c>
      <c r="G3" s="4" t="inlineStr">
        <is>
          <t>ynaklı verile</t>
        </is>
      </c>
      <c r="H3" s="4" t="inlineStr">
        <is>
          <t>r için kaynak gösteril</t>
        </is>
      </c>
      <c r="I3" s="4" t="inlineStr">
        <is>
          <t>mektedir. Pegasus d</t>
        </is>
      </c>
      <c r="J3" s="4" t="inlineStr">
        <is>
          <t>ış kaynaklı verilerin</t>
        </is>
      </c>
    </row>
    <row r="4">
      <c r="A4" s="4" t="inlineStr">
        <is>
          <t>güvenilir kaynaklardan</t>
        </is>
      </c>
      <c r="B4" s="4" t="inlineStr">
        <is>
          <t>elde edildiği</t>
        </is>
      </c>
      <c r="C4" s="4" t="inlineStr">
        <is>
          <t>ni değerlendirmek</t>
        </is>
      </c>
      <c r="D4" s="4" t="inlineStr">
        <is>
          <t>le birlikte bu</t>
        </is>
      </c>
      <c r="E4" s="4" t="inlineStr">
        <is>
          <t>verilerin doğrul</t>
        </is>
      </c>
      <c r="F4" s="4" t="inlineStr">
        <is>
          <t>uğunu kontrol etme</t>
        </is>
      </c>
      <c r="G4" s="4" t="inlineStr">
        <is>
          <t>mektedir ve</t>
        </is>
      </c>
      <c r="H4" s="4" t="inlineStr">
        <is>
          <t>bu verilerin tam veya</t>
        </is>
      </c>
      <c r="I4" s="4" t="inlineStr">
        <is>
          <t>doğru olduğu veya</t>
        </is>
      </c>
      <c r="J4" s="4" t="inlineStr">
        <is>
          <t>yanıltıcı olmadığına</t>
        </is>
      </c>
    </row>
    <row r="5">
      <c r="A5" s="4" t="inlineStr">
        <is>
          <t>dair herhangi bir taahh</t>
        </is>
      </c>
      <c r="B5" s="4" t="inlineStr">
        <is>
          <t>ütte bulunm</t>
        </is>
      </c>
      <c r="C5" s="4" t="inlineStr">
        <is>
          <t>amaktadır.</t>
        </is>
      </c>
    </row>
    <row r="7">
      <c r="A7" s="4" t="inlineStr">
        <is>
          <t>Burada yer alan veriler</t>
        </is>
      </c>
      <c r="B7" s="4" t="inlineStr">
        <is>
          <t>yatırımcıları</t>
        </is>
      </c>
      <c r="C7" s="4" t="inlineStr">
        <is>
          <t>Pegasus’un faaliye</t>
        </is>
      </c>
      <c r="D7" s="4" t="inlineStr">
        <is>
          <t>t sonuçları, h</t>
        </is>
      </c>
      <c r="E7" s="4" t="inlineStr">
        <is>
          <t>edef ve beklent</t>
        </is>
      </c>
      <c r="F7" s="4" t="inlineStr">
        <is>
          <t>ileri hakkında doğru,</t>
        </is>
      </c>
      <c r="G7" s="4" t="inlineStr">
        <is>
          <t>açık ve eşit</t>
        </is>
      </c>
      <c r="H7" s="4" t="inlineStr">
        <is>
          <t>koşullarda bilgilendi</t>
        </is>
      </c>
      <c r="I7" s="4" t="inlineStr">
        <is>
          <t>rme amacıyla hazırla</t>
        </is>
      </c>
      <c r="J7" s="4" t="inlineStr">
        <is>
          <t>nmış olup herhangi</t>
        </is>
      </c>
    </row>
    <row r="8">
      <c r="A8" s="4" t="inlineStr">
        <is>
          <t>bir yatırım tavsiyesi vey</t>
        </is>
      </c>
      <c r="B8" s="4" t="inlineStr">
        <is>
          <t>a Pegasus ta</t>
        </is>
      </c>
      <c r="C8" s="4" t="inlineStr">
        <is>
          <t>rafından ihraç edil</t>
        </is>
      </c>
      <c r="D8" s="4" t="inlineStr">
        <is>
          <t>miş sermaye</t>
        </is>
      </c>
      <c r="E8" s="4" t="inlineStr">
        <is>
          <t>piyasası araçları</t>
        </is>
      </c>
      <c r="F8" s="4" t="inlineStr">
        <is>
          <t>na ilişkin bir icap vey</t>
        </is>
      </c>
      <c r="G8" s="4" t="inlineStr">
        <is>
          <t>a icaba dav</t>
        </is>
      </c>
      <c r="H8" s="4" t="inlineStr">
        <is>
          <t>et oluşturmamaktad</t>
        </is>
      </c>
      <c r="I8" s="4" t="inlineStr">
        <is>
          <t>ır. Yatırımcıların yatır</t>
        </is>
      </c>
      <c r="J8" s="4" t="inlineStr">
        <is>
          <t>ım kararlarını farklı</t>
        </is>
      </c>
    </row>
    <row r="9">
      <c r="A9" s="4" t="inlineStr">
        <is>
          <t>kaynaklardan erişimleri</t>
        </is>
      </c>
      <c r="B9" s="4" t="inlineStr">
        <is>
          <t>ne sunulan v</t>
        </is>
      </c>
      <c r="C9" s="4" t="inlineStr">
        <is>
          <t>e yatırım kararları</t>
        </is>
      </c>
      <c r="D9" s="4" t="inlineStr">
        <is>
          <t>nı etkileyebil</t>
        </is>
      </c>
      <c r="E9" s="4" t="inlineStr">
        <is>
          <t>ecek diğer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t>
        </is>
      </c>
      <c r="C11" s="4" t="inlineStr">
        <is>
          <t>ımcı bilgilendirme</t>
        </is>
      </c>
      <c r="D11" s="4" t="inlineStr">
        <is>
          <t>belgeleri gel</t>
        </is>
      </c>
      <c r="E11" s="4" t="inlineStr">
        <is>
          <t>eceğe yönelik he</t>
        </is>
      </c>
      <c r="F11" s="4" t="inlineStr">
        <is>
          <t>def veya beklentiler</t>
        </is>
      </c>
      <c r="G11" s="4" t="inlineStr">
        <is>
          <t>içerebilir. B</t>
        </is>
      </c>
      <c r="H11" s="4" t="inlineStr">
        <is>
          <t>u hedef ve beklentil</t>
        </is>
      </c>
      <c r="I11" s="4" t="inlineStr">
        <is>
          <t>er bu başlık ile veya</t>
        </is>
      </c>
      <c r="J11" s="4" t="inlineStr">
        <is>
          <t>“öngörülmektedir”,</t>
        </is>
      </c>
    </row>
    <row r="12">
      <c r="A12" s="4" t="inlineStr">
        <is>
          <t>“düşünülmektedir”, “ta</t>
        </is>
      </c>
      <c r="B12" s="4" t="inlineStr">
        <is>
          <t>hmin edilme</t>
        </is>
      </c>
      <c r="C12" s="4" t="inlineStr">
        <is>
          <t>ktedir”, “beklenm</t>
        </is>
      </c>
      <c r="D12" s="4" t="inlineStr">
        <is>
          <t>ektedir” ve b</t>
        </is>
      </c>
      <c r="E12" s="4" t="inlineStr">
        <is>
          <t>enzer ifadeler il</t>
        </is>
      </c>
      <c r="F12" s="4" t="inlineStr">
        <is>
          <t>e veya gelecek zam</t>
        </is>
      </c>
      <c r="G12" s="4" t="inlineStr">
        <is>
          <t>an kipi kulla</t>
        </is>
      </c>
      <c r="H12" s="4" t="inlineStr">
        <is>
          <t>nılarak paylaşılabilir.</t>
        </is>
      </c>
      <c r="I12" s="4" t="inlineStr">
        <is>
          <t>Geleceğe yönelik h</t>
        </is>
      </c>
      <c r="J12" s="4" t="inlineStr">
        <is>
          <t>edef ve beklentiler</t>
        </is>
      </c>
    </row>
    <row r="13">
      <c r="A13" s="4" t="inlineStr">
        <is>
          <t>Pegasus’un operasyone</t>
        </is>
      </c>
      <c r="B13" s="4" t="inlineStr">
        <is>
          <t>l ve mali pe</t>
        </is>
      </c>
      <c r="C13" s="4" t="inlineStr">
        <is>
          <t>rformansı, büyüm</t>
        </is>
      </c>
      <c r="D13" s="4" t="inlineStr">
        <is>
          <t>e ve stratejisi</t>
        </is>
      </c>
      <c r="E13" s="4" t="inlineStr">
        <is>
          <t>ne ve 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t>
        </is>
      </c>
      <c r="C14" s="4" t="inlineStr">
        <is>
          <t>enüz gerçekleşme</t>
        </is>
      </c>
      <c r="D14" s="4" t="inlineStr">
        <is>
          <t>miş konulara</t>
        </is>
      </c>
      <c r="E14" s="4" t="inlineStr">
        <is>
          <t>ilişkindir. Gelec</t>
        </is>
      </c>
      <c r="F14" s="4" t="inlineStr">
        <is>
          <t>eğe yönelik hedef ve</t>
        </is>
      </c>
      <c r="G14" s="4" t="inlineStr">
        <is>
          <t>beklentiler</t>
        </is>
      </c>
      <c r="H14" s="4" t="inlineStr">
        <is>
          <t>makul varsayım ve t</t>
        </is>
      </c>
      <c r="I14" s="4" t="inlineStr">
        <is>
          <t>ahminlere dayandırı</t>
        </is>
      </c>
      <c r="J14" s="4" t="inlineStr">
        <is>
          <t>lır. Bununla birlikte</t>
        </is>
      </c>
    </row>
    <row r="15">
      <c r="A15" s="4" t="inlineStr">
        <is>
          <t>bu hedef ve beklentiler</t>
        </is>
      </c>
      <c r="B15" s="4" t="inlineStr">
        <is>
          <t>belirsizlik ve</t>
        </is>
      </c>
      <c r="C15" s="4" t="inlineStr">
        <is>
          <t>riskler içermekte o</t>
        </is>
      </c>
      <c r="D15" s="4" t="inlineStr">
        <is>
          <t>lup, duyurun</t>
        </is>
      </c>
      <c r="E15" s="4" t="inlineStr">
        <is>
          <t>un yapıldığı tari</t>
        </is>
      </c>
      <c r="F15" s="4" t="inlineStr">
        <is>
          <t>h itibarıyla geçerli he</t>
        </is>
      </c>
      <c r="G15" s="4" t="inlineStr">
        <is>
          <t>def ve bekle</t>
        </is>
      </c>
      <c r="H15" s="4" t="inlineStr">
        <is>
          <t>ntileri ifade etmekte</t>
        </is>
      </c>
      <c r="I15" s="4" t="inlineStr">
        <is>
          <t>dir. Birçok etken gel</t>
        </is>
      </c>
      <c r="J15" s="4" t="inlineStr">
        <is>
          <t>eceğe yönelik hedef</t>
        </is>
      </c>
    </row>
    <row r="16">
      <c r="A16" s="4" t="inlineStr">
        <is>
          <t>ve beklentilerin öngörü</t>
        </is>
      </c>
      <c r="B16" s="4" t="inlineStr">
        <is>
          <t>lenden öne</t>
        </is>
      </c>
      <c r="C16" s="4" t="inlineStr">
        <is>
          <t>mli ölçüde farklı so</t>
        </is>
      </c>
      <c r="D16" s="4" t="inlineStr">
        <is>
          <t>nuçlanmasına</t>
        </is>
      </c>
      <c r="E16" s="4" t="inlineStr">
        <is>
          <t>yol açabilir.</t>
        </is>
      </c>
    </row>
    <row r="18">
      <c r="A18" s="4" t="inlineStr">
        <is>
          <t>Pegasus geleceğe yöne</t>
        </is>
      </c>
      <c r="B18" s="4" t="inlineStr">
        <is>
          <t>lik hedef ve b</t>
        </is>
      </c>
      <c r="C18" s="4" t="inlineStr">
        <is>
          <t>eklentiler de dahil</t>
        </is>
      </c>
      <c r="D18" s="4" t="inlineStr">
        <is>
          <t>olmak üzere</t>
        </is>
      </c>
      <c r="E18" s="4" t="inlineStr">
        <is>
          <t>bu belgede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t>
        </is>
      </c>
      <c r="C19" s="4" t="inlineStr">
        <is>
          <t>enilenmesi veya d</t>
        </is>
      </c>
      <c r="D19" s="4" t="inlineStr">
        <is>
          <t>üzenli olarak</t>
        </is>
      </c>
      <c r="E19" s="4" t="inlineStr">
        <is>
          <t>bildirimi konus</t>
        </is>
      </c>
      <c r="F19" s="4" t="inlineStr">
        <is>
          <t>unda herhangi bir t</t>
        </is>
      </c>
      <c r="G19" s="4" t="inlineStr">
        <is>
          <t>aahhütte b</t>
        </is>
      </c>
      <c r="H19" s="4" t="inlineStr">
        <is>
          <t>ulunmamaktadır. Bu</t>
        </is>
      </c>
      <c r="I19" s="4" t="inlineStr">
        <is>
          <t>belgeyi herhangi bir</t>
        </is>
      </c>
      <c r="J19" s="4" t="inlineStr">
        <is>
          <t>şekilde kullanarak</t>
        </is>
      </c>
    </row>
    <row r="20">
      <c r="A20" s="4" t="inlineStr">
        <is>
          <t>burada yer verilen uyar</t>
        </is>
      </c>
      <c r="B20" s="4" t="inlineStr">
        <is>
          <t>ıları okuduğ</t>
        </is>
      </c>
      <c r="C20" s="4" t="inlineStr">
        <is>
          <t>unuz, anladığınız v</t>
        </is>
      </c>
      <c r="D20" s="4" t="inlineStr">
        <is>
          <t>e kabul ettiği</t>
        </is>
      </c>
      <c r="E20" s="4" t="inlineStr">
        <is>
          <t>niz varsayılmakt</t>
        </is>
      </c>
      <c r="F20" s="4" t="inlineStr">
        <is>
          <t>adır.</t>
        </is>
      </c>
    </row>
    <row r="22">
      <c r="A22" s="2" t="inlineStr">
        <is>
          <t>Genel (Public)</t>
        </is>
      </c>
    </row>
  </sheetData>
  <mergeCells count="1">
    <mergeCell ref="A22:J2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70"/>
  <sheetViews>
    <sheetView workbookViewId="0">
      <selection activeCell="A1" sqref="A1"/>
    </sheetView>
  </sheetViews>
  <sheetFormatPr baseColWidth="8" defaultRowHeight="15"/>
  <cols>
    <col width="26" customWidth="1" min="1" max="1"/>
    <col width="13" customWidth="1" min="2" max="2"/>
    <col width="19" customWidth="1" min="3" max="3"/>
    <col width="15" customWidth="1" min="4" max="4"/>
    <col width="17" customWidth="1" min="5" max="5"/>
    <col width="12" customWidth="1" min="6" max="6"/>
    <col width="12" customWidth="1" min="7" max="7"/>
    <col width="12" customWidth="1" min="8" max="8"/>
    <col width="19" customWidth="1" min="9" max="9"/>
    <col width="15" customWidth="1" min="10" max="10"/>
    <col width="12" customWidth="1" min="11" max="11"/>
    <col width="20" customWidth="1" min="12" max="12"/>
    <col width="19" customWidth="1" min="13" max="13"/>
    <col width="12" customWidth="1" min="14" max="14"/>
    <col width="12" customWidth="1" min="15" max="15"/>
    <col width="17" customWidth="1" min="16" max="16"/>
    <col width="12" customWidth="1" min="17" max="17"/>
    <col width="12" customWidth="1" min="18" max="18"/>
  </cols>
  <sheetData>
    <row r="1">
      <c r="A1" s="4" t="inlineStr">
        <is>
          <t>P E G A S U S H</t>
        </is>
      </c>
      <c r="B1" s="4" t="inlineStr">
        <is>
          <t>A V</t>
        </is>
      </c>
      <c r="C1" s="4" t="inlineStr">
        <is>
          <t>A T A Ş I M A</t>
        </is>
      </c>
      <c r="D1" s="4" t="inlineStr">
        <is>
          <t>C I L I Ğ</t>
        </is>
      </c>
      <c r="E1" s="4" t="inlineStr">
        <is>
          <t>I A</t>
        </is>
      </c>
      <c r="F1" s="4" t="inlineStr">
        <is>
          <t>. Ş .</t>
        </is>
      </c>
    </row>
    <row r="3">
      <c r="A3" s="4" t="inlineStr">
        <is>
          <t>Ş U B A T 2 0 2 6</t>
        </is>
      </c>
      <c r="B3" s="4" t="inlineStr">
        <is>
          <t>T</t>
        </is>
      </c>
      <c r="C3" s="4" t="inlineStr">
        <is>
          <t>R A F İ K S O N</t>
        </is>
      </c>
      <c r="D3" s="4" t="inlineStr">
        <is>
          <t>U Ç L A</t>
        </is>
      </c>
      <c r="E3" s="4" t="inlineStr">
        <is>
          <t>R I</t>
        </is>
      </c>
    </row>
    <row r="5">
      <c r="A5" s="4" t="inlineStr">
        <is>
          <t>A</t>
        </is>
      </c>
      <c r="B5" s="4" t="inlineStr">
        <is>
          <t>Y L</t>
        </is>
      </c>
      <c r="C5" s="4" t="inlineStr">
        <is>
          <t>I K</t>
        </is>
      </c>
      <c r="D5" s="4" t="inlineStr">
        <is>
          <t>K</t>
        </is>
      </c>
      <c r="E5" s="4" t="inlineStr">
        <is>
          <t>Ü M Ü L A T İ F</t>
        </is>
      </c>
    </row>
    <row r="7">
      <c r="A7" s="4" t="inlineStr">
        <is>
          <t>Ş u b</t>
        </is>
      </c>
      <c r="B7" s="4" t="inlineStr">
        <is>
          <t>a t Ş</t>
        </is>
      </c>
      <c r="C7" s="4" t="inlineStr">
        <is>
          <t>u b</t>
        </is>
      </c>
      <c r="D7" s="4" t="inlineStr">
        <is>
          <t>a t</t>
        </is>
      </c>
      <c r="E7" s="4" t="inlineStr">
        <is>
          <t>' 2 6 / ' 2 5 O</t>
        </is>
      </c>
      <c r="F7" s="4" t="inlineStr">
        <is>
          <t>c</t>
        </is>
      </c>
      <c r="G7" s="4" t="inlineStr">
        <is>
          <t>a . -</t>
        </is>
      </c>
      <c r="H7" s="4" t="inlineStr">
        <is>
          <t>Ş u b .</t>
        </is>
      </c>
      <c r="I7" s="4" t="inlineStr">
        <is>
          <t>O c a . - Ş u b .</t>
        </is>
      </c>
      <c r="J7" s="4" t="inlineStr">
        <is>
          <t>' 2 6</t>
        </is>
      </c>
      <c r="K7" s="4" t="inlineStr">
        <is>
          <t>/ '</t>
        </is>
      </c>
    </row>
    <row r="9">
      <c r="A9" s="4" t="inlineStr">
        <is>
          <t>2 0 2</t>
        </is>
      </c>
      <c r="B9" s="5" t="n">
        <v>6</v>
      </c>
      <c r="C9" s="5" t="n">
        <v>202</v>
      </c>
      <c r="D9" s="5" t="n">
        <v>5</v>
      </c>
      <c r="E9" s="4" t="inlineStr">
        <is>
          <t>% D e ğ .</t>
        </is>
      </c>
      <c r="F9" s="5" t="n">
        <v>2</v>
      </c>
      <c r="G9" s="5" t="n">
        <v>2</v>
      </c>
      <c r="H9" s="5" t="n">
        <v>6</v>
      </c>
      <c r="I9" s="5" t="n">
        <v>2025</v>
      </c>
      <c r="J9" s="4" t="inlineStr">
        <is>
          <t>%</t>
        </is>
      </c>
      <c r="K9" s="4" t="inlineStr">
        <is>
          <t>D e</t>
        </is>
      </c>
    </row>
    <row r="11">
      <c r="A11" s="4" t="inlineStr">
        <is>
          <t>M i s a f i r</t>
        </is>
      </c>
      <c r="B11" s="4" t="inlineStr">
        <is>
          <t>s a y ı s</t>
        </is>
      </c>
      <c r="C11" s="4" t="inlineStr">
        <is>
          <t>ı ,</t>
        </is>
      </c>
      <c r="D11" s="4" t="inlineStr">
        <is>
          <t>m n</t>
        </is>
      </c>
      <c r="E11" s="6" t="n">
        <v>3.1</v>
      </c>
      <c r="F11" s="5" t="n">
        <v>2</v>
      </c>
      <c r="G11" s="6" t="n">
        <v>2.8</v>
      </c>
      <c r="H11" s="5" t="n">
        <v>3</v>
      </c>
      <c r="I11" s="7" t="n">
        <v>0.1</v>
      </c>
      <c r="J11" s="6" t="n">
        <v>6.6</v>
      </c>
      <c r="K11" s="5" t="n">
        <v>8</v>
      </c>
      <c r="L11" s="6" t="n">
        <v>6.02</v>
      </c>
      <c r="M11" s="5" t="n">
        <v>1</v>
      </c>
      <c r="N11" s="7" t="n">
        <v>0.01</v>
      </c>
    </row>
    <row r="13">
      <c r="A13" s="4" t="inlineStr">
        <is>
          <t>K o n m a</t>
        </is>
      </c>
      <c r="B13" s="5" t="n">
        <v>17</v>
      </c>
      <c r="C13" s="5" t="n">
        <v>281</v>
      </c>
      <c r="D13" s="6" t="n">
        <v>5.1</v>
      </c>
      <c r="E13" s="5" t="n">
        <v>19</v>
      </c>
      <c r="F13" s="7" t="n">
        <v>0.13</v>
      </c>
      <c r="G13" s="5" t="n">
        <v>3</v>
      </c>
      <c r="H13" s="6" t="n">
        <v>6.4</v>
      </c>
      <c r="I13" s="5" t="n">
        <v>54</v>
      </c>
      <c r="J13" s="5" t="n">
        <v>32972</v>
      </c>
      <c r="K13" s="5" t="n">
        <v>1</v>
      </c>
      <c r="L13" s="7" t="n">
        <v>0.01</v>
      </c>
    </row>
    <row r="15">
      <c r="A15" s="4" t="inlineStr">
        <is>
          <t>K o lt u k</t>
        </is>
      </c>
      <c r="B15" s="4" t="inlineStr">
        <is>
          <t>s a y ı s ı</t>
        </is>
      </c>
      <c r="C15" s="4" t="inlineStr">
        <is>
          <t>,</t>
        </is>
      </c>
      <c r="D15" s="4" t="inlineStr">
        <is>
          <t>m n</t>
        </is>
      </c>
      <c r="E15" s="6" t="n">
        <v>3.5</v>
      </c>
      <c r="F15" s="5" t="n">
        <v>8</v>
      </c>
      <c r="G15" s="6" t="n">
        <v>3.1</v>
      </c>
      <c r="H15" s="5" t="n">
        <v>8</v>
      </c>
      <c r="I15" s="7" t="n">
        <v>0.13</v>
      </c>
      <c r="J15" s="6" t="n">
        <v>7.6</v>
      </c>
      <c r="K15" s="5" t="n">
        <v>6</v>
      </c>
      <c r="L15" s="6" t="n">
        <v>6.92</v>
      </c>
      <c r="M15" s="5" t="n">
        <v>1</v>
      </c>
      <c r="N15" s="7" t="n">
        <v>0.01</v>
      </c>
    </row>
    <row r="17">
      <c r="A17" s="2" t="inlineStr">
        <is>
          <t>T o p l a m</t>
        </is>
      </c>
    </row>
    <row r="18">
      <c r="A18" s="4" t="inlineStr">
        <is>
          <t>D o l u l u</t>
        </is>
      </c>
      <c r="B18" s="4" t="inlineStr">
        <is>
          <t>k O r a</t>
        </is>
      </c>
      <c r="C18" s="4" t="inlineStr">
        <is>
          <t>n ı</t>
        </is>
      </c>
      <c r="D18" s="6" t="n">
        <v>87.3</v>
      </c>
      <c r="E18" s="7" t="n">
        <v>0.08</v>
      </c>
      <c r="F18" s="6" t="n">
        <v>9.1</v>
      </c>
      <c r="G18" s="4" t="inlineStr">
        <is>
          <t>%</t>
        </is>
      </c>
      <c r="H18" s="8" t="n">
        <v>-1.8</v>
      </c>
      <c r="I18" s="5" t="n">
        <v>8</v>
      </c>
      <c r="J18" s="6" t="n">
        <v>7.2</v>
      </c>
      <c r="K18" s="4" t="inlineStr">
        <is>
          <t>%</t>
        </is>
      </c>
      <c r="L18" s="7" t="n">
        <v>0.87</v>
      </c>
      <c r="M18" s="5" t="n">
        <v>0</v>
      </c>
      <c r="N18" s="8" t="n">
        <v>0.2</v>
      </c>
    </row>
    <row r="20">
      <c r="A20" s="4" t="inlineStr">
        <is>
          <t>A S K (</t>
        </is>
      </c>
      <c r="B20" s="4" t="inlineStr">
        <is>
          <t>m ln k m</t>
        </is>
      </c>
      <c r="C20" s="4" t="inlineStr">
        <is>
          <t>)</t>
        </is>
      </c>
      <c r="D20" s="6" t="n">
        <v>5.55</v>
      </c>
      <c r="E20" s="5" t="n">
        <v>2</v>
      </c>
      <c r="F20" s="6" t="n">
        <v>4.9</v>
      </c>
      <c r="G20" s="5" t="n">
        <v>39</v>
      </c>
      <c r="H20" s="7" t="n">
        <v>0.12</v>
      </c>
      <c r="I20" s="5" t="n">
        <v>1</v>
      </c>
      <c r="J20" s="6" t="n">
        <v>1.9</v>
      </c>
      <c r="K20" s="5" t="n">
        <v>16</v>
      </c>
      <c r="L20" s="5" t="n">
        <v>10649</v>
      </c>
      <c r="M20" s="5" t="n">
        <v>1</v>
      </c>
      <c r="N20" s="7" t="n">
        <v>0.02</v>
      </c>
    </row>
    <row r="22">
      <c r="A22" s="4" t="inlineStr">
        <is>
          <t>K o n m a</t>
        </is>
      </c>
      <c r="B22" s="4" t="inlineStr">
        <is>
          <t>b a ş ı n</t>
        </is>
      </c>
      <c r="C22" s="4" t="inlineStr">
        <is>
          <t>a</t>
        </is>
      </c>
      <c r="D22" s="4" t="inlineStr">
        <is>
          <t>M i s</t>
        </is>
      </c>
      <c r="E22" s="4" t="inlineStr">
        <is>
          <t>a f</t>
        </is>
      </c>
      <c r="F22" s="4" t="inlineStr">
        <is>
          <t>i r</t>
        </is>
      </c>
      <c r="G22" s="5" t="n">
        <v>183</v>
      </c>
      <c r="H22" s="5" t="n">
        <v>18</v>
      </c>
      <c r="I22" s="5" t="n">
        <v>7</v>
      </c>
      <c r="J22" s="7" t="n">
        <v>-0.02</v>
      </c>
      <c r="K22" s="5" t="n">
        <v>18</v>
      </c>
      <c r="L22" s="5" t="n">
        <v>3</v>
      </c>
      <c r="M22" s="5" t="n">
        <v>183</v>
      </c>
      <c r="N22" s="7" t="n">
        <v>0</v>
      </c>
    </row>
    <row r="24">
      <c r="A24" s="4" t="inlineStr">
        <is>
          <t>M i s a f i r</t>
        </is>
      </c>
      <c r="B24" s="4" t="inlineStr">
        <is>
          <t>s a y ı s</t>
        </is>
      </c>
      <c r="C24" s="4" t="inlineStr">
        <is>
          <t>ı ,</t>
        </is>
      </c>
      <c r="D24" s="4" t="inlineStr">
        <is>
          <t>m n</t>
        </is>
      </c>
      <c r="E24" s="6" t="n">
        <v>1.1</v>
      </c>
      <c r="F24" s="5" t="n">
        <v>7</v>
      </c>
      <c r="G24" s="6" t="n">
        <v>0.9</v>
      </c>
      <c r="H24" s="5" t="n">
        <v>9</v>
      </c>
      <c r="I24" s="7" t="n">
        <v>0.19</v>
      </c>
      <c r="J24" s="6" t="n">
        <v>2.5</v>
      </c>
      <c r="K24" s="5" t="n">
        <v>0</v>
      </c>
      <c r="L24" s="6" t="n">
        <v>2.19</v>
      </c>
      <c r="M24" s="5" t="n">
        <v>1</v>
      </c>
      <c r="N24" s="7" t="n">
        <v>0.04</v>
      </c>
    </row>
    <row r="26">
      <c r="A26" s="4" t="inlineStr">
        <is>
          <t>K o n m a</t>
        </is>
      </c>
      <c r="B26" s="6" t="n">
        <v>6.14</v>
      </c>
      <c r="C26" s="5" t="n">
        <v>6</v>
      </c>
      <c r="D26" s="6" t="n">
        <v>5.1</v>
      </c>
      <c r="E26" s="5" t="n">
        <v>25</v>
      </c>
      <c r="F26" s="7" t="n">
        <v>0.2</v>
      </c>
      <c r="G26" s="5" t="n">
        <v>1</v>
      </c>
      <c r="H26" s="5" t="n">
        <v>3</v>
      </c>
      <c r="I26" s="5" t="n">
        <v>32</v>
      </c>
      <c r="J26" s="5" t="n">
        <v>11556</v>
      </c>
      <c r="K26" s="5" t="n">
        <v>1</v>
      </c>
      <c r="L26" s="7" t="n">
        <v>0.03</v>
      </c>
    </row>
    <row r="28">
      <c r="A28" s="4" t="inlineStr">
        <is>
          <t>K o lt u k</t>
        </is>
      </c>
      <c r="B28" s="4" t="inlineStr">
        <is>
          <t>s a y ı s ı</t>
        </is>
      </c>
      <c r="C28" s="4" t="inlineStr">
        <is>
          <t>,</t>
        </is>
      </c>
      <c r="D28" s="4" t="inlineStr">
        <is>
          <t>m n</t>
        </is>
      </c>
      <c r="E28" s="6" t="n">
        <v>1.2</v>
      </c>
      <c r="F28" s="5" t="n">
        <v>9</v>
      </c>
      <c r="G28" s="5" t="n">
        <v>1</v>
      </c>
      <c r="H28" s="5" t="n">
        <v>7</v>
      </c>
      <c r="I28" s="7" t="n">
        <v>0.21</v>
      </c>
      <c r="J28" s="6" t="n">
        <v>2.7</v>
      </c>
      <c r="K28" s="5" t="n">
        <v>4</v>
      </c>
      <c r="L28" s="6" t="n">
        <v>2.41</v>
      </c>
      <c r="M28" s="5" t="n">
        <v>1</v>
      </c>
      <c r="N28" s="7" t="n">
        <v>0.04</v>
      </c>
    </row>
    <row r="30">
      <c r="A30" s="2" t="inlineStr">
        <is>
          <t>İ ç H a t l a r</t>
        </is>
      </c>
    </row>
    <row r="31">
      <c r="A31" s="4" t="inlineStr">
        <is>
          <t>D o l u l u</t>
        </is>
      </c>
      <c r="B31" s="4" t="inlineStr">
        <is>
          <t>k O r a</t>
        </is>
      </c>
      <c r="C31" s="4" t="inlineStr">
        <is>
          <t>n ı</t>
        </is>
      </c>
      <c r="D31" s="6" t="n">
        <v>90.59999999999999</v>
      </c>
      <c r="E31" s="7" t="n">
        <v>0.09</v>
      </c>
      <c r="F31" s="6" t="n">
        <v>2.3</v>
      </c>
      <c r="G31" s="4" t="inlineStr">
        <is>
          <t>%</t>
        </is>
      </c>
      <c r="H31" s="8" t="n">
        <v>-1.7</v>
      </c>
      <c r="I31" s="5" t="n">
        <v>9</v>
      </c>
      <c r="J31" s="6" t="n">
        <v>1.5</v>
      </c>
      <c r="K31" s="4" t="inlineStr">
        <is>
          <t>%</t>
        </is>
      </c>
      <c r="L31" s="7" t="n">
        <v>0.91</v>
      </c>
      <c r="M31" s="5" t="n">
        <v>0</v>
      </c>
      <c r="N31" s="8" t="n">
        <v>0.5</v>
      </c>
    </row>
    <row r="33">
      <c r="A33" s="4" t="inlineStr">
        <is>
          <t>A S K (</t>
        </is>
      </c>
      <c r="B33" s="4" t="inlineStr">
        <is>
          <t>m ln k m</t>
        </is>
      </c>
      <c r="C33" s="4" t="inlineStr">
        <is>
          <t>)</t>
        </is>
      </c>
      <c r="D33" s="5" t="n">
        <v>1</v>
      </c>
      <c r="E33" s="5" t="n">
        <v>8</v>
      </c>
      <c r="F33" s="5" t="n">
        <v>80</v>
      </c>
      <c r="G33" s="5" t="n">
        <v>1</v>
      </c>
      <c r="H33" s="7" t="n">
        <v>0.26</v>
      </c>
      <c r="I33" s="5" t="n">
        <v>2</v>
      </c>
      <c r="J33" s="6" t="n">
        <v>0.13</v>
      </c>
      <c r="K33" s="5" t="n">
        <v>3</v>
      </c>
      <c r="L33" s="5" t="n">
        <v>1823</v>
      </c>
      <c r="M33" s="5" t="n">
        <v>1</v>
      </c>
      <c r="N33" s="7" t="n">
        <v>0.07000000000000001</v>
      </c>
    </row>
    <row r="35">
      <c r="A35" s="4" t="inlineStr">
        <is>
          <t>K o n m a</t>
        </is>
      </c>
      <c r="B35" s="4" t="inlineStr">
        <is>
          <t>b a ş ı n</t>
        </is>
      </c>
      <c r="C35" s="4" t="inlineStr">
        <is>
          <t>a</t>
        </is>
      </c>
      <c r="D35" s="4" t="inlineStr">
        <is>
          <t>M i s</t>
        </is>
      </c>
      <c r="E35" s="4" t="inlineStr">
        <is>
          <t>a f</t>
        </is>
      </c>
      <c r="F35" s="4" t="inlineStr">
        <is>
          <t>i r</t>
        </is>
      </c>
      <c r="G35" s="5" t="n">
        <v>191</v>
      </c>
      <c r="H35" s="5" t="n">
        <v>19</v>
      </c>
      <c r="I35" s="5" t="n">
        <v>2</v>
      </c>
      <c r="J35" s="7" t="n">
        <v>-0.01</v>
      </c>
      <c r="K35" s="5" t="n">
        <v>19</v>
      </c>
      <c r="L35" s="5" t="n">
        <v>2</v>
      </c>
      <c r="M35" s="5" t="n">
        <v>190</v>
      </c>
      <c r="N35" s="7" t="n">
        <v>0.01</v>
      </c>
    </row>
    <row r="37">
      <c r="A37" s="4" t="inlineStr">
        <is>
          <t>M i s a f i r</t>
        </is>
      </c>
      <c r="B37" s="4" t="inlineStr">
        <is>
          <t>s a y ı s</t>
        </is>
      </c>
      <c r="C37" s="4" t="inlineStr">
        <is>
          <t>ı ,</t>
        </is>
      </c>
      <c r="D37" s="4" t="inlineStr">
        <is>
          <t>m n</t>
        </is>
      </c>
      <c r="E37" s="6" t="n">
        <v>1.9</v>
      </c>
      <c r="F37" s="5" t="n">
        <v>5</v>
      </c>
      <c r="G37" s="6" t="n">
        <v>1.8</v>
      </c>
      <c r="H37" s="5" t="n">
        <v>4</v>
      </c>
      <c r="I37" s="7" t="n">
        <v>0.06</v>
      </c>
      <c r="J37" s="6" t="n">
        <v>4.1</v>
      </c>
      <c r="K37" s="5" t="n">
        <v>7</v>
      </c>
      <c r="L37" s="6" t="n">
        <v>3.83</v>
      </c>
      <c r="M37" s="7" t="n">
        <v>0.09</v>
      </c>
    </row>
    <row r="39">
      <c r="A39" s="4" t="inlineStr">
        <is>
          <t>K o n m a</t>
        </is>
      </c>
      <c r="B39" s="6" t="n">
        <v>10.8</v>
      </c>
      <c r="C39" s="5" t="n">
        <v>82</v>
      </c>
      <c r="D39" s="6" t="n">
        <v>9.9</v>
      </c>
      <c r="E39" s="5" t="n">
        <v>94</v>
      </c>
      <c r="F39" s="7" t="n">
        <v>0.09</v>
      </c>
      <c r="G39" s="5" t="n">
        <v>2</v>
      </c>
      <c r="H39" s="6" t="n">
        <v>3.4</v>
      </c>
      <c r="I39" s="5" t="n">
        <v>22</v>
      </c>
      <c r="J39" s="5" t="n">
        <v>21416</v>
      </c>
      <c r="K39" s="7" t="n">
        <v>0.09</v>
      </c>
    </row>
    <row r="41">
      <c r="A41" s="4" t="inlineStr">
        <is>
          <t>K o lt u k</t>
        </is>
      </c>
      <c r="B41" s="4" t="inlineStr">
        <is>
          <t>s a y ı s ı</t>
        </is>
      </c>
      <c r="C41" s="4" t="inlineStr">
        <is>
          <t>,</t>
        </is>
      </c>
      <c r="D41" s="4" t="inlineStr">
        <is>
          <t>m n</t>
        </is>
      </c>
      <c r="E41" s="6" t="n">
        <v>2.2</v>
      </c>
      <c r="F41" s="5" t="n">
        <v>8</v>
      </c>
      <c r="G41" s="6" t="n">
        <v>2.1</v>
      </c>
      <c r="H41" s="5" t="n">
        <v>1</v>
      </c>
      <c r="I41" s="7" t="n">
        <v>0.08</v>
      </c>
      <c r="J41" s="6" t="n">
        <v>4.9</v>
      </c>
      <c r="K41" s="5" t="n">
        <v>2</v>
      </c>
      <c r="L41" s="6" t="n">
        <v>4.51</v>
      </c>
      <c r="M41" s="7" t="n">
        <v>0.09</v>
      </c>
    </row>
    <row r="43">
      <c r="A43" s="2" t="inlineStr">
        <is>
          <t>D ı ş H a t l a r *</t>
        </is>
      </c>
    </row>
    <row r="44">
      <c r="A44" s="4" t="inlineStr">
        <is>
          <t>D o l u l u</t>
        </is>
      </c>
      <c r="B44" s="4" t="inlineStr">
        <is>
          <t>k O r a</t>
        </is>
      </c>
      <c r="C44" s="4" t="inlineStr">
        <is>
          <t>n ı</t>
        </is>
      </c>
      <c r="D44" s="6" t="n">
        <v>85.40000000000001</v>
      </c>
      <c r="E44" s="7" t="n">
        <v>0.08</v>
      </c>
      <c r="F44" s="6" t="n">
        <v>7.5</v>
      </c>
      <c r="G44" s="4" t="inlineStr">
        <is>
          <t>%</t>
        </is>
      </c>
      <c r="H44" s="8" t="n">
        <v>-2</v>
      </c>
      <c r="I44" s="5" t="n">
        <v>8</v>
      </c>
      <c r="J44" s="6" t="n">
        <v>4.8</v>
      </c>
      <c r="K44" s="4" t="inlineStr">
        <is>
          <t>%</t>
        </is>
      </c>
      <c r="L44" s="7" t="n">
        <v>0.8490000000000001</v>
      </c>
      <c r="M44" s="5" t="n">
        <v>0</v>
      </c>
      <c r="N44" s="6" t="n">
        <v>0.1</v>
      </c>
    </row>
    <row r="46">
      <c r="A46" s="4" t="inlineStr">
        <is>
          <t>A S K (</t>
        </is>
      </c>
      <c r="B46" s="4" t="inlineStr">
        <is>
          <t>m ln k m</t>
        </is>
      </c>
      <c r="C46" s="4" t="inlineStr">
        <is>
          <t>)</t>
        </is>
      </c>
      <c r="D46" s="6" t="n">
        <v>4.54</v>
      </c>
      <c r="E46" s="5" t="n">
        <v>4</v>
      </c>
      <c r="F46" s="6" t="n">
        <v>4.1</v>
      </c>
      <c r="G46" s="5" t="n">
        <v>38</v>
      </c>
      <c r="H46" s="7" t="n">
        <v>0.1</v>
      </c>
      <c r="I46" s="5" t="n">
        <v>9</v>
      </c>
      <c r="J46" s="6" t="n">
        <v>0.78</v>
      </c>
      <c r="K46" s="5" t="n">
        <v>3</v>
      </c>
      <c r="L46" s="5" t="n">
        <v>8827</v>
      </c>
      <c r="M46" s="5" t="n">
        <v>1</v>
      </c>
      <c r="N46" s="7" t="n">
        <v>0.01</v>
      </c>
    </row>
    <row r="48">
      <c r="A48" s="4" t="inlineStr">
        <is>
          <t>K o n m a</t>
        </is>
      </c>
      <c r="B48" s="4" t="inlineStr">
        <is>
          <t>b a ş ı n</t>
        </is>
      </c>
      <c r="C48" s="4" t="inlineStr">
        <is>
          <t>a</t>
        </is>
      </c>
      <c r="D48" s="4" t="inlineStr">
        <is>
          <t>M i s</t>
        </is>
      </c>
      <c r="E48" s="4" t="inlineStr">
        <is>
          <t>a f</t>
        </is>
      </c>
      <c r="F48" s="4" t="inlineStr">
        <is>
          <t>i r</t>
        </is>
      </c>
      <c r="G48" s="5" t="n">
        <v>179</v>
      </c>
      <c r="H48" s="5" t="n">
        <v>18</v>
      </c>
      <c r="I48" s="5" t="n">
        <v>4</v>
      </c>
      <c r="J48" s="7" t="n">
        <v>-0.03</v>
      </c>
      <c r="K48" s="5" t="n">
        <v>17</v>
      </c>
      <c r="L48" s="5" t="n">
        <v>8</v>
      </c>
      <c r="M48" s="5" t="n">
        <v>179</v>
      </c>
      <c r="N48" s="7" t="n">
        <v>0</v>
      </c>
    </row>
    <row r="50">
      <c r="A50" s="2" t="inlineStr">
        <is>
          <t>* C h a r t e r d a h il</t>
        </is>
      </c>
    </row>
    <row r="52">
      <c r="A52" s="4" t="inlineStr">
        <is>
          <t>K a r b o n E m i</t>
        </is>
      </c>
      <c r="B52" s="4" t="inlineStr">
        <is>
          <t>s</t>
        </is>
      </c>
      <c r="C52" s="4" t="inlineStr">
        <is>
          <t>y o n u İ s t a t</t>
        </is>
      </c>
      <c r="D52" s="4" t="inlineStr">
        <is>
          <t>i s t i k l e</t>
        </is>
      </c>
      <c r="E52" s="4" t="inlineStr">
        <is>
          <t>r i</t>
        </is>
      </c>
    </row>
    <row r="54">
      <c r="A54" s="4" t="inlineStr">
        <is>
          <t>A Y L I</t>
        </is>
      </c>
      <c r="B54" s="4" t="inlineStr">
        <is>
          <t>K</t>
        </is>
      </c>
      <c r="C54" s="5" t="n">
        <v>202</v>
      </c>
      <c r="D54" s="5" t="n">
        <v>6</v>
      </c>
      <c r="E54" s="4" t="inlineStr">
        <is>
          <t>2 0 2 5 C</t>
        </is>
      </c>
      <c r="F54" s="4" t="inlineStr">
        <is>
          <t>U</t>
        </is>
      </c>
      <c r="G54" s="4" t="inlineStr">
        <is>
          <t>M</t>
        </is>
      </c>
      <c r="H54" s="4" t="inlineStr">
        <is>
          <t>U L .</t>
        </is>
      </c>
      <c r="I54" s="5" t="n">
        <v>2026</v>
      </c>
      <c r="J54" s="5" t="n">
        <v>2</v>
      </c>
      <c r="K54" s="5" t="n">
        <v>2</v>
      </c>
    </row>
    <row r="56">
      <c r="A56" s="4" t="inlineStr">
        <is>
          <t>C O 2 g r a m / R</t>
        </is>
      </c>
      <c r="B56" s="4" t="inlineStr">
        <is>
          <t>P K</t>
        </is>
      </c>
      <c r="C56" s="4" t="inlineStr">
        <is>
          <t>O c a</t>
        </is>
      </c>
      <c r="D56" s="4" t="inlineStr">
        <is>
          <t>k</t>
        </is>
      </c>
      <c r="E56" s="5" t="n">
        <v>57</v>
      </c>
      <c r="F56" s="5" t="n">
        <v>2</v>
      </c>
      <c r="G56" s="6" t="n">
        <v>58.2</v>
      </c>
      <c r="H56" s="4" t="inlineStr">
        <is>
          <t>1 A</t>
        </is>
      </c>
      <c r="I56" s="6" t="n">
        <v>57.2</v>
      </c>
      <c r="J56" s="5" t="n">
        <v>5</v>
      </c>
      <c r="K56" s="5" t="n">
        <v>8</v>
      </c>
    </row>
    <row r="58">
      <c r="A58" s="4" t="inlineStr">
        <is>
          <t>Ş u b</t>
        </is>
      </c>
      <c r="B58" s="4" t="inlineStr">
        <is>
          <t>a t</t>
        </is>
      </c>
      <c r="C58" s="5" t="n">
        <v>56</v>
      </c>
      <c r="D58" s="5" t="n">
        <v>5</v>
      </c>
      <c r="E58" s="6" t="n">
        <v>55.5</v>
      </c>
      <c r="F58" s="4" t="inlineStr">
        <is>
          <t>2 A</t>
        </is>
      </c>
      <c r="G58" s="6" t="n">
        <v>56.9</v>
      </c>
      <c r="H58" s="5" t="n">
        <v>5</v>
      </c>
      <c r="I58" s="5" t="n">
        <v>6</v>
      </c>
    </row>
    <row r="60">
      <c r="A60" s="4" t="inlineStr">
        <is>
          <t>Y I L L I K</t>
        </is>
      </c>
      <c r="B60" s="5" t="n">
        <v>20</v>
      </c>
      <c r="C60" s="5" t="n">
        <v>1</v>
      </c>
      <c r="D60" s="5" t="n">
        <v>9</v>
      </c>
      <c r="E60" s="5" t="n">
        <v>202</v>
      </c>
      <c r="F60" s="5" t="n">
        <v>0</v>
      </c>
      <c r="G60" s="5" t="n">
        <v>202</v>
      </c>
      <c r="H60" s="5" t="n">
        <v>1</v>
      </c>
      <c r="I60" s="5" t="n">
        <v>2022</v>
      </c>
      <c r="J60" s="5" t="n">
        <v>2</v>
      </c>
      <c r="K60" s="5" t="n">
        <v>2</v>
      </c>
      <c r="L60" s="5" t="n">
        <v>3</v>
      </c>
      <c r="M60" s="5" t="n">
        <v>2024</v>
      </c>
      <c r="N60" s="5" t="n">
        <v>2</v>
      </c>
      <c r="O60" s="5" t="n">
        <v>2</v>
      </c>
    </row>
    <row r="62">
      <c r="A62" s="4" t="inlineStr">
        <is>
          <t>C O 2 g r a m / R</t>
        </is>
      </c>
      <c r="B62" s="4" t="inlineStr">
        <is>
          <t>P</t>
        </is>
      </c>
      <c r="C62" s="4" t="inlineStr">
        <is>
          <t>K</t>
        </is>
      </c>
      <c r="D62" s="5" t="n">
        <v>65</v>
      </c>
      <c r="E62" s="4" t="inlineStr">
        <is>
          <t>.</t>
        </is>
      </c>
      <c r="F62" s="5" t="n">
        <v>1</v>
      </c>
      <c r="G62" s="5" t="n">
        <v>71</v>
      </c>
      <c r="H62" s="5" t="n">
        <v>3</v>
      </c>
      <c r="I62" s="5" t="n">
        <v>71</v>
      </c>
      <c r="J62" s="5" t="n">
        <v>0</v>
      </c>
      <c r="K62" s="6" t="n">
        <v>62.1</v>
      </c>
      <c r="L62" s="5" t="n">
        <v>61</v>
      </c>
      <c r="M62" s="5" t="n">
        <v>3</v>
      </c>
      <c r="N62" s="6" t="n">
        <v>58.3</v>
      </c>
      <c r="O62" s="5" t="n">
        <v>5</v>
      </c>
      <c r="P62" s="5" t="n">
        <v>6</v>
      </c>
    </row>
    <row r="64">
      <c r="A64" s="4" t="inlineStr">
        <is>
          <t>Karbon Emis</t>
        </is>
      </c>
      <c r="B64" s="4" t="inlineStr">
        <is>
          <t>y</t>
        </is>
      </c>
      <c r="C64" s="4" t="inlineStr">
        <is>
          <t>onu İstatist</t>
        </is>
      </c>
      <c r="D64" s="4" t="inlineStr">
        <is>
          <t>iklerin</t>
        </is>
      </c>
      <c r="E64" s="4" t="inlineStr">
        <is>
          <t>de</t>
        </is>
      </c>
      <c r="F64" s="4" t="inlineStr">
        <is>
          <t>(g</t>
        </is>
      </c>
      <c r="G64" s="4" t="inlineStr">
        <is>
          <t>rC</t>
        </is>
      </c>
      <c r="H64" s="4" t="inlineStr">
        <is>
          <t>O2/RP</t>
        </is>
      </c>
      <c r="I64" s="4" t="inlineStr">
        <is>
          <t>K) jet y</t>
        </is>
      </c>
      <c r="J64" s="4" t="inlineStr">
        <is>
          <t>akıtı emisy</t>
        </is>
      </c>
      <c r="K64" s="4" t="inlineStr">
        <is>
          <t>on</t>
        </is>
      </c>
      <c r="L64" s="4" t="inlineStr">
        <is>
          <t>katsayı</t>
        </is>
      </c>
      <c r="M64" s="4" t="inlineStr">
        <is>
          <t>sı baz yıl ve tüm</t>
        </is>
      </c>
      <c r="N64" s="4" t="inlineStr">
        <is>
          <t>rap</t>
        </is>
      </c>
      <c r="O64" s="4" t="inlineStr">
        <is>
          <t>orlanan</t>
        </is>
      </c>
      <c r="P64" s="4" t="inlineStr">
        <is>
          <t>dönemler çin 3,</t>
        </is>
      </c>
      <c r="Q64" s="5" t="n">
        <v>16</v>
      </c>
      <c r="R64" s="4" t="inlineStr">
        <is>
          <t>ol</t>
        </is>
      </c>
    </row>
    <row r="66">
      <c r="A66" s="2" t="inlineStr">
        <is>
          <t>kullanılmıştır.</t>
        </is>
      </c>
    </row>
    <row r="68">
      <c r="A68" s="4" t="inlineStr">
        <is>
          <t>Arz edilen Kolt</t>
        </is>
      </c>
      <c r="B68" s="4" t="inlineStr">
        <is>
          <t>u</t>
        </is>
      </c>
      <c r="C68" s="4" t="inlineStr">
        <is>
          <t>k Kilometre</t>
        </is>
      </c>
      <c r="D68" s="4" t="inlineStr">
        <is>
          <t>(ASK)</t>
        </is>
      </c>
      <c r="E68" s="4">
        <f> U</f>
        <v/>
      </c>
      <c r="F68" s="4" t="inlineStr">
        <is>
          <t>çuş</t>
        </is>
      </c>
      <c r="G68" s="4" t="inlineStr">
        <is>
          <t>a</t>
        </is>
      </c>
      <c r="H68" s="4" t="inlineStr">
        <is>
          <t>arz edile</t>
        </is>
      </c>
      <c r="I68" s="4" t="inlineStr">
        <is>
          <t>n koltuk</t>
        </is>
      </c>
      <c r="J68" s="4" t="inlineStr">
        <is>
          <t>sayısı x Orta</t>
        </is>
      </c>
      <c r="K68" s="4" t="inlineStr">
        <is>
          <t>la</t>
        </is>
      </c>
      <c r="L68" s="4" t="inlineStr">
        <is>
          <t>ma Uçuş</t>
        </is>
      </c>
      <c r="M68" s="4" t="inlineStr">
        <is>
          <t>Mesafesi</t>
        </is>
      </c>
    </row>
    <row r="70">
      <c r="A70" s="4" t="inlineStr">
        <is>
          <t>Doluluk Oranı</t>
        </is>
      </c>
      <c r="B70" s="4" t="inlineStr">
        <is>
          <t>=</t>
        </is>
      </c>
      <c r="C70" s="4" t="inlineStr">
        <is>
          <t>Biletlenmiş</t>
        </is>
      </c>
      <c r="D70" s="4" t="inlineStr">
        <is>
          <t>misafi</t>
        </is>
      </c>
      <c r="E70" s="4" t="inlineStr">
        <is>
          <t>r s</t>
        </is>
      </c>
      <c r="F70" s="4" t="inlineStr">
        <is>
          <t>ayısı</t>
        </is>
      </c>
      <c r="G70" s="4" t="inlineStr">
        <is>
          <t>/</t>
        </is>
      </c>
      <c r="H70" s="4" t="inlineStr">
        <is>
          <t>Toplam</t>
        </is>
      </c>
      <c r="I70" s="4" t="inlineStr">
        <is>
          <t>koltuk s</t>
        </is>
      </c>
      <c r="J70" s="4" t="inlineStr">
        <is>
          <t>ayısı</t>
        </is>
      </c>
    </row>
  </sheetData>
  <mergeCells count="5">
    <mergeCell ref="A30:R30"/>
    <mergeCell ref="A43:R43"/>
    <mergeCell ref="A66:R66"/>
    <mergeCell ref="A17:R17"/>
    <mergeCell ref="A50:R50"/>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7" customWidth="1" min="1" max="1"/>
    <col width="26" customWidth="1" min="2" max="2"/>
    <col width="17" customWidth="1" min="3" max="3"/>
    <col width="19" customWidth="1" min="4" max="4"/>
    <col width="14" customWidth="1" min="5" max="5"/>
    <col width="19" customWidth="1" min="6" max="6"/>
    <col width="12" customWidth="1" min="7" max="7"/>
    <col width="15" customWidth="1" min="8" max="8"/>
    <col width="24" customWidth="1" min="9" max="9"/>
    <col width="25" customWidth="1" min="10" max="10"/>
    <col width="24" customWidth="1" min="11" max="11"/>
  </cols>
  <sheetData>
    <row r="1">
      <c r="A1" s="4" t="inlineStr">
        <is>
          <t>Bu belge Pegasus Hava</t>
        </is>
      </c>
      <c r="B1" s="4" t="inlineStr">
        <is>
          <t>Taşımacılığı Anonim</t>
        </is>
      </c>
      <c r="C1" s="4" t="inlineStr">
        <is>
          <t>Şirketi (“Pega</t>
        </is>
      </c>
      <c r="D1" s="4" t="inlineStr">
        <is>
          <t>sus”) tarafında</t>
        </is>
      </c>
      <c r="E1" s="4" t="inlineStr">
        <is>
          <t>n Pegasus</t>
        </is>
      </c>
      <c r="F1" s="4" t="inlineStr">
        <is>
          <t>Bilgilendirme</t>
        </is>
      </c>
      <c r="G1" s="4" t="inlineStr">
        <is>
          <t>Politik</t>
        </is>
      </c>
      <c r="H1" s="4" t="inlineStr">
        <is>
          <t>ası uyarınca</t>
        </is>
      </c>
      <c r="I1" s="4" t="inlineStr">
        <is>
          <t>hazırlanmıştır. Bu be</t>
        </is>
      </c>
      <c r="J1" s="4" t="inlineStr">
        <is>
          <t>lgede yer alan bilgil</t>
        </is>
      </c>
      <c r="K1" s="4" t="inlineStr">
        <is>
          <t>er Pegasus’un kendi</t>
        </is>
      </c>
    </row>
    <row r="2">
      <c r="A2" s="3" t="inlineStr">
        <is>
          <t>kayıtlarına, Pegasus’un</t>
        </is>
      </c>
      <c r="B2" s="3" t="inlineStr">
        <is>
          <t>faaliyet gösterdiği p</t>
        </is>
      </c>
      <c r="C2" s="3" t="inlineStr">
        <is>
          <t>azarlara ait ke</t>
        </is>
      </c>
      <c r="D2" s="3" t="inlineStr">
        <is>
          <t>ndi bilgi ve tecr</t>
        </is>
      </c>
      <c r="E2" s="3" t="inlineStr">
        <is>
          <t>übeleri uy</t>
        </is>
      </c>
      <c r="F2" s="3" t="inlineStr">
        <is>
          <t>arınca gerçekl</t>
        </is>
      </c>
      <c r="G2" s="3" t="inlineStr">
        <is>
          <t>eştirile</t>
        </is>
      </c>
      <c r="H2" s="3" t="inlineStr">
        <is>
          <t>n araştırma</t>
        </is>
      </c>
      <c r="I2" s="3" t="inlineStr">
        <is>
          <t>ve öngörülere veya</t>
        </is>
      </c>
      <c r="J2" s="3" t="inlineStr">
        <is>
          <t>Pegasus’un erişimin</t>
        </is>
      </c>
      <c r="K2" s="3" t="inlineStr">
        <is>
          <t>e sunulan ve üçüncü</t>
        </is>
      </c>
    </row>
    <row r="3">
      <c r="A3" s="4" t="inlineStr">
        <is>
          <t>kişiler tarafından hazırl</t>
        </is>
      </c>
      <c r="B3" s="4" t="inlineStr">
        <is>
          <t>anan sektör, piyasa</t>
        </is>
      </c>
      <c r="C3" s="4" t="inlineStr">
        <is>
          <t>ve benzeri kon</t>
        </is>
      </c>
      <c r="D3" s="4" t="inlineStr">
        <is>
          <t>ulara ilişkin ve</t>
        </is>
      </c>
      <c r="E3" s="4" t="inlineStr">
        <is>
          <t>rilere daya</t>
        </is>
      </c>
      <c r="F3" s="4" t="inlineStr">
        <is>
          <t>nmaktadır ve</t>
        </is>
      </c>
      <c r="G3" s="4" t="inlineStr">
        <is>
          <t>dış kay</t>
        </is>
      </c>
      <c r="H3" s="4" t="inlineStr">
        <is>
          <t>naklı verile</t>
        </is>
      </c>
      <c r="I3" s="4" t="inlineStr">
        <is>
          <t>r için kaynak gösteril</t>
        </is>
      </c>
      <c r="J3" s="4" t="inlineStr">
        <is>
          <t>mektedir. Pegasus d</t>
        </is>
      </c>
      <c r="K3" s="4" t="inlineStr">
        <is>
          <t>ış kaynaklı verilerin</t>
        </is>
      </c>
    </row>
    <row r="4">
      <c r="A4" s="4" t="inlineStr">
        <is>
          <t>güvenilir kaynaklardan</t>
        </is>
      </c>
      <c r="B4" s="4" t="inlineStr">
        <is>
          <t>elde edildiğini değer</t>
        </is>
      </c>
      <c r="C4" s="4" t="inlineStr">
        <is>
          <t>lendirmekle b</t>
        </is>
      </c>
      <c r="D4" s="4" t="inlineStr">
        <is>
          <t>irlikte bu verile</t>
        </is>
      </c>
      <c r="E4" s="4" t="inlineStr">
        <is>
          <t>rin doğrul</t>
        </is>
      </c>
      <c r="F4" s="4" t="inlineStr">
        <is>
          <t>uğunu kontrol</t>
        </is>
      </c>
      <c r="G4" s="4" t="inlineStr">
        <is>
          <t>etme</t>
        </is>
      </c>
      <c r="H4" s="4" t="inlineStr">
        <is>
          <t>mektedir ve</t>
        </is>
      </c>
      <c r="I4" s="4" t="inlineStr">
        <is>
          <t>bu verilerin tam vey</t>
        </is>
      </c>
      <c r="J4" s="4" t="inlineStr">
        <is>
          <t>a doğru olduğu veya</t>
        </is>
      </c>
      <c r="K4" s="4" t="inlineStr">
        <is>
          <t>yanıltıcı olmadığına</t>
        </is>
      </c>
    </row>
    <row r="5">
      <c r="A5" s="4" t="inlineStr">
        <is>
          <t>dair herhangi bir taahh</t>
        </is>
      </c>
      <c r="B5" s="4" t="inlineStr">
        <is>
          <t>ütte bulunmamakt</t>
        </is>
      </c>
      <c r="C5" s="4" t="inlineStr">
        <is>
          <t>adır.</t>
        </is>
      </c>
    </row>
    <row r="7">
      <c r="A7" s="4" t="inlineStr">
        <is>
          <t>Burada yer alan veriler</t>
        </is>
      </c>
      <c r="B7" s="4" t="inlineStr">
        <is>
          <t>yatırımcıları Pegasus</t>
        </is>
      </c>
      <c r="C7" s="4" t="inlineStr">
        <is>
          <t>’un faaliyet so</t>
        </is>
      </c>
      <c r="D7" s="4" t="inlineStr">
        <is>
          <t>nuçları, hedef v</t>
        </is>
      </c>
      <c r="E7" s="4" t="inlineStr">
        <is>
          <t>e beklent</t>
        </is>
      </c>
      <c r="F7" s="4" t="inlineStr">
        <is>
          <t>ileri hakkında</t>
        </is>
      </c>
      <c r="G7" s="4" t="inlineStr">
        <is>
          <t>doğru,</t>
        </is>
      </c>
      <c r="H7" s="4" t="inlineStr">
        <is>
          <t>açık ve eşit</t>
        </is>
      </c>
      <c r="I7" s="4" t="inlineStr">
        <is>
          <t>koşullarda bilgilendi</t>
        </is>
      </c>
      <c r="J7" s="4" t="inlineStr">
        <is>
          <t>rme amacıyla hazırla</t>
        </is>
      </c>
      <c r="K7" s="4" t="inlineStr">
        <is>
          <t>nmış olup herhangi</t>
        </is>
      </c>
    </row>
    <row r="8">
      <c r="A8" s="4" t="inlineStr">
        <is>
          <t>bir yatırım tavsiyesi vey</t>
        </is>
      </c>
      <c r="B8" s="4" t="inlineStr">
        <is>
          <t>a Pegasus tarafında</t>
        </is>
      </c>
      <c r="C8" s="4" t="inlineStr">
        <is>
          <t>n ihraç edilmiş</t>
        </is>
      </c>
      <c r="D8" s="4" t="inlineStr">
        <is>
          <t>sermaye piyas</t>
        </is>
      </c>
      <c r="E8" s="4" t="inlineStr">
        <is>
          <t>ası araçlar</t>
        </is>
      </c>
      <c r="F8" s="4" t="inlineStr">
        <is>
          <t>ına ilişkin bir i</t>
        </is>
      </c>
      <c r="G8" s="4" t="inlineStr">
        <is>
          <t>cap vey</t>
        </is>
      </c>
      <c r="H8" s="4" t="inlineStr">
        <is>
          <t>a icaba dav</t>
        </is>
      </c>
      <c r="I8" s="4" t="inlineStr">
        <is>
          <t>et oluşturmamaktad</t>
        </is>
      </c>
      <c r="J8" s="4" t="inlineStr">
        <is>
          <t>ır. Yatırımcıların yatı</t>
        </is>
      </c>
      <c r="K8" s="4" t="inlineStr">
        <is>
          <t>rım kararlarını farklı</t>
        </is>
      </c>
    </row>
    <row r="9">
      <c r="A9" s="4" t="inlineStr">
        <is>
          <t>kaynaklardan erişimler</t>
        </is>
      </c>
      <c r="B9" s="4" t="inlineStr">
        <is>
          <t>ine sunulan ve yatı</t>
        </is>
      </c>
      <c r="C9" s="4" t="inlineStr">
        <is>
          <t>rım kararların</t>
        </is>
      </c>
      <c r="D9" s="4" t="inlineStr">
        <is>
          <t>ı etkileyebilec</t>
        </is>
      </c>
      <c r="E9" s="4" t="inlineStr">
        <is>
          <t>ek diğer b</t>
        </is>
      </c>
      <c r="F9" s="4" t="inlineStr">
        <is>
          <t>ilgi, olay ve d</t>
        </is>
      </c>
      <c r="G9" s="4" t="inlineStr">
        <is>
          <t>uruml</t>
        </is>
      </c>
      <c r="H9" s="4" t="inlineStr">
        <is>
          <t>arın değerl</t>
        </is>
      </c>
      <c r="I9" s="4" t="inlineStr">
        <is>
          <t>endirilmesi doğrult</t>
        </is>
      </c>
      <c r="J9" s="4" t="inlineStr">
        <is>
          <t>usunda oluşturmala</t>
        </is>
      </c>
      <c r="K9" s="4" t="inlineStr">
        <is>
          <t>rı gerekmektedir.</t>
        </is>
      </c>
    </row>
    <row r="11">
      <c r="A11" s="4" t="inlineStr">
        <is>
          <t>Pegasus tarafından haz</t>
        </is>
      </c>
      <c r="B11" s="4" t="inlineStr">
        <is>
          <t>ırlanan yatırımcı bilg</t>
        </is>
      </c>
      <c r="C11" s="4" t="inlineStr">
        <is>
          <t>ilendirme bel</t>
        </is>
      </c>
      <c r="D11" s="4" t="inlineStr">
        <is>
          <t>geleri geleceğe</t>
        </is>
      </c>
      <c r="E11" s="4" t="inlineStr">
        <is>
          <t>yönelik he</t>
        </is>
      </c>
      <c r="F11" s="4" t="inlineStr">
        <is>
          <t>def veya bekl</t>
        </is>
      </c>
      <c r="G11" s="4" t="inlineStr">
        <is>
          <t>entiler</t>
        </is>
      </c>
      <c r="H11" s="4" t="inlineStr">
        <is>
          <t>içerebilir. B</t>
        </is>
      </c>
      <c r="I11" s="4" t="inlineStr">
        <is>
          <t>u hedef ve beklentil</t>
        </is>
      </c>
      <c r="J11" s="4" t="inlineStr">
        <is>
          <t>er bu başlık ile veya</t>
        </is>
      </c>
      <c r="K11" s="4" t="inlineStr">
        <is>
          <t>“öngörülmektedir”,</t>
        </is>
      </c>
    </row>
    <row r="12">
      <c r="A12" s="4" t="inlineStr">
        <is>
          <t>“düşünülmektedir”, “ta</t>
        </is>
      </c>
      <c r="B12" s="4" t="inlineStr">
        <is>
          <t>hmin edilmektedir”,</t>
        </is>
      </c>
      <c r="C12" s="4" t="inlineStr">
        <is>
          <t>“beklenmekt</t>
        </is>
      </c>
      <c r="D12" s="4" t="inlineStr">
        <is>
          <t>edir” ve benzer</t>
        </is>
      </c>
      <c r="E12" s="4" t="inlineStr">
        <is>
          <t>ifadeler il</t>
        </is>
      </c>
      <c r="F12" s="4" t="inlineStr">
        <is>
          <t>e veya gelece</t>
        </is>
      </c>
      <c r="G12" s="4" t="inlineStr">
        <is>
          <t>k zam</t>
        </is>
      </c>
      <c r="H12" s="4" t="inlineStr">
        <is>
          <t>an kipi kulla</t>
        </is>
      </c>
      <c r="I12" s="4" t="inlineStr">
        <is>
          <t>nılarak paylaşılabilir</t>
        </is>
      </c>
      <c r="J12" s="4" t="inlineStr">
        <is>
          <t>. Geleceğe yönelik h</t>
        </is>
      </c>
      <c r="K12" s="4" t="inlineStr">
        <is>
          <t>edef ve beklentiler</t>
        </is>
      </c>
    </row>
    <row r="13">
      <c r="A13" s="4" t="inlineStr">
        <is>
          <t>Pegasus’un operasyon</t>
        </is>
      </c>
      <c r="B13" s="4" t="inlineStr">
        <is>
          <t>el ve mali performan</t>
        </is>
      </c>
      <c r="C13" s="4" t="inlineStr">
        <is>
          <t>sı, büyüme ve</t>
        </is>
      </c>
      <c r="D13" s="4" t="inlineStr">
        <is>
          <t>stratejisine ve</t>
        </is>
      </c>
      <c r="E13" s="4" t="inlineStr">
        <is>
          <t>Pegasus Y</t>
        </is>
      </c>
      <c r="F13" s="4" t="inlineStr">
        <is>
          <t>önetiminin ge</t>
        </is>
      </c>
      <c r="G13" s="4" t="inlineStr">
        <is>
          <t>leceğe</t>
        </is>
      </c>
      <c r="H13" s="4" t="inlineStr">
        <is>
          <t>yönelik pla</t>
        </is>
      </c>
      <c r="I13" s="4" t="inlineStr">
        <is>
          <t>nlama ve hedeflerin</t>
        </is>
      </c>
      <c r="J13" s="4" t="inlineStr">
        <is>
          <t>e ilişkin olabilir. Gel</t>
        </is>
      </c>
      <c r="K13" s="4" t="inlineStr">
        <is>
          <t>eceğe yönelik hedef</t>
        </is>
      </c>
    </row>
    <row r="14">
      <c r="A14" s="4" t="inlineStr">
        <is>
          <t>ve beklentilere ilişkin a</t>
        </is>
      </c>
      <c r="B14" s="4" t="inlineStr">
        <is>
          <t>çıklamalar henüz ge</t>
        </is>
      </c>
      <c r="C14" s="4" t="inlineStr">
        <is>
          <t>rçekleşmemiş</t>
        </is>
      </c>
      <c r="D14" s="4" t="inlineStr">
        <is>
          <t>konulara ilişkin</t>
        </is>
      </c>
      <c r="E14" s="4" t="inlineStr">
        <is>
          <t>dir. Gelec</t>
        </is>
      </c>
      <c r="F14" s="4" t="inlineStr">
        <is>
          <t>eğe yönelik he</t>
        </is>
      </c>
      <c r="G14" s="4" t="inlineStr">
        <is>
          <t>def ve</t>
        </is>
      </c>
      <c r="H14" s="4" t="inlineStr">
        <is>
          <t>beklentiler</t>
        </is>
      </c>
      <c r="I14" s="4" t="inlineStr">
        <is>
          <t>makul varsayım ve t</t>
        </is>
      </c>
      <c r="J14" s="4" t="inlineStr">
        <is>
          <t>ahminlere dayandır</t>
        </is>
      </c>
      <c r="K14" s="4" t="inlineStr">
        <is>
          <t>ılır. Bununla birlikte</t>
        </is>
      </c>
    </row>
    <row r="15">
      <c r="A15" s="4" t="inlineStr">
        <is>
          <t>bu hedef ve beklentiler</t>
        </is>
      </c>
      <c r="B15" s="4" t="inlineStr">
        <is>
          <t>belirsizlik ve riskler i</t>
        </is>
      </c>
      <c r="C15" s="4" t="inlineStr">
        <is>
          <t>çermekte olup</t>
        </is>
      </c>
      <c r="D15" s="4" t="inlineStr">
        <is>
          <t>, duyurunun ya</t>
        </is>
      </c>
      <c r="E15" s="4" t="inlineStr">
        <is>
          <t>pıldığı tari</t>
        </is>
      </c>
      <c r="F15" s="4" t="inlineStr">
        <is>
          <t>h itibarıyla ge</t>
        </is>
      </c>
      <c r="G15" s="4" t="inlineStr">
        <is>
          <t>çerli he</t>
        </is>
      </c>
      <c r="H15" s="4" t="inlineStr">
        <is>
          <t>def ve bekl</t>
        </is>
      </c>
      <c r="I15" s="4" t="inlineStr">
        <is>
          <t>entileri ifade etmekte</t>
        </is>
      </c>
      <c r="J15" s="4" t="inlineStr">
        <is>
          <t>dir. Birçok etken gel</t>
        </is>
      </c>
      <c r="K15" s="4" t="inlineStr">
        <is>
          <t>eceğe yönelik hedef</t>
        </is>
      </c>
    </row>
    <row r="16">
      <c r="A16" s="4" t="inlineStr">
        <is>
          <t>ve beklentilerin öngör</t>
        </is>
      </c>
      <c r="B16" s="4" t="inlineStr">
        <is>
          <t>ülenden önemli ölç</t>
        </is>
      </c>
      <c r="C16" s="4" t="inlineStr">
        <is>
          <t>üde farklı so</t>
        </is>
      </c>
      <c r="D16" s="4" t="inlineStr">
        <is>
          <t>nuçlanmasına y</t>
        </is>
      </c>
      <c r="E16" s="4" t="inlineStr">
        <is>
          <t>ol açabilir</t>
        </is>
      </c>
      <c r="F16" s="4" t="inlineStr">
        <is>
          <t>.</t>
        </is>
      </c>
    </row>
    <row r="18">
      <c r="A18" s="4" t="inlineStr">
        <is>
          <t>Pegasus geleceğe yöne</t>
        </is>
      </c>
      <c r="B18" s="4" t="inlineStr">
        <is>
          <t>lik hedef ve beklenti</t>
        </is>
      </c>
      <c r="C18" s="4" t="inlineStr">
        <is>
          <t>ler de dahil ol</t>
        </is>
      </c>
      <c r="D18" s="4" t="inlineStr">
        <is>
          <t>mak üzere bu be</t>
        </is>
      </c>
      <c r="E18" s="4" t="inlineStr">
        <is>
          <t>lgede yer</t>
        </is>
      </c>
      <c r="F18" s="4" t="inlineStr">
        <is>
          <t>alan beyanlar</t>
        </is>
      </c>
      <c r="G18" s="4" t="inlineStr">
        <is>
          <t>ın ilgili</t>
        </is>
      </c>
      <c r="H18" s="4" t="inlineStr">
        <is>
          <t>sermaye pi</t>
        </is>
      </c>
      <c r="I18" s="4" t="inlineStr">
        <is>
          <t>yasası mevzuatından</t>
        </is>
      </c>
      <c r="J18" s="4" t="inlineStr">
        <is>
          <t>doğan yükümlülükle</t>
        </is>
      </c>
      <c r="K18" s="4" t="inlineStr">
        <is>
          <t>rin gereği haricinde</t>
        </is>
      </c>
    </row>
    <row r="19">
      <c r="A19" s="4" t="inlineStr">
        <is>
          <t>güncel tutulması, günc</t>
        </is>
      </c>
      <c r="B19" s="4" t="inlineStr">
        <is>
          <t>ellenmesi, yenilenm</t>
        </is>
      </c>
      <c r="C19" s="4" t="inlineStr">
        <is>
          <t>esi veya düze</t>
        </is>
      </c>
      <c r="D19" s="4" t="inlineStr">
        <is>
          <t>nli olarak bildir</t>
        </is>
      </c>
      <c r="E19" s="4" t="inlineStr">
        <is>
          <t>imi konus</t>
        </is>
      </c>
      <c r="F19" s="4" t="inlineStr">
        <is>
          <t>unda herhan</t>
        </is>
      </c>
      <c r="G19" s="4" t="inlineStr">
        <is>
          <t>gi bir t</t>
        </is>
      </c>
      <c r="H19" s="4" t="inlineStr">
        <is>
          <t>aahhütte bu</t>
        </is>
      </c>
      <c r="I19" s="4" t="inlineStr">
        <is>
          <t>lunmamaktadır. Bu</t>
        </is>
      </c>
      <c r="J19" s="4" t="inlineStr">
        <is>
          <t>belgeyi herhangi bi</t>
        </is>
      </c>
      <c r="K19" s="4" t="inlineStr">
        <is>
          <t>r şekilde kullanarak</t>
        </is>
      </c>
    </row>
    <row r="20">
      <c r="A20" s="4" t="inlineStr">
        <is>
          <t>burada yer verilen uya</t>
        </is>
      </c>
      <c r="B20" s="4" t="inlineStr">
        <is>
          <t>rıları okuduğunuz,</t>
        </is>
      </c>
      <c r="C20" s="4" t="inlineStr">
        <is>
          <t>anladığınız ve</t>
        </is>
      </c>
      <c r="D20" s="4" t="inlineStr">
        <is>
          <t>kabul ettiğiniz</t>
        </is>
      </c>
      <c r="E20" s="4" t="inlineStr">
        <is>
          <t>varsayılm</t>
        </is>
      </c>
      <c r="F20" s="4" t="inlineStr">
        <is>
          <t>aktadır.</t>
        </is>
      </c>
    </row>
    <row r="22">
      <c r="A22" s="2" t="inlineStr">
        <is>
          <t>Genel (Public)</t>
        </is>
      </c>
    </row>
  </sheetData>
  <mergeCells count="1">
    <mergeCell ref="A22:K2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17" customWidth="1" min="1" max="1"/>
    <col width="17" customWidth="1" min="2" max="2"/>
    <col width="12" customWidth="1" min="3" max="3"/>
    <col width="12" customWidth="1" min="4" max="4"/>
    <col width="12" customWidth="1" min="5" max="5"/>
    <col width="13" customWidth="1" min="6" max="6"/>
    <col width="12" customWidth="1" min="7" max="7"/>
    <col width="13" customWidth="1" min="8" max="8"/>
    <col width="12" customWidth="1" min="9" max="9"/>
    <col width="12" customWidth="1" min="10" max="10"/>
    <col width="14" customWidth="1" min="11" max="11"/>
    <col width="12" customWidth="1" min="12" max="12"/>
    <col width="12" customWidth="1" min="13" max="13"/>
    <col width="12" customWidth="1" min="14" max="14"/>
    <col width="13" customWidth="1" min="15" max="15"/>
    <col width="12" customWidth="1" min="16" max="16"/>
    <col width="12" customWidth="1" min="17" max="17"/>
    <col width="12" customWidth="1" min="18" max="18"/>
    <col width="13" customWidth="1" min="19" max="19"/>
    <col width="12" customWidth="1" min="20" max="20"/>
  </cols>
  <sheetData>
    <row r="1">
      <c r="A1" s="4" t="inlineStr">
        <is>
          <t>P E G A S</t>
        </is>
      </c>
      <c r="B1" s="4" t="inlineStr">
        <is>
          <t>U S H A V A T</t>
        </is>
      </c>
      <c r="C1" s="4" t="inlineStr">
        <is>
          <t>A</t>
        </is>
      </c>
      <c r="D1" s="4" t="inlineStr">
        <is>
          <t>Ş I</t>
        </is>
      </c>
      <c r="E1" s="4" t="inlineStr">
        <is>
          <t>M A</t>
        </is>
      </c>
      <c r="F1" s="4" t="inlineStr">
        <is>
          <t>C I L I</t>
        </is>
      </c>
      <c r="G1" s="4" t="inlineStr">
        <is>
          <t>Ğ I</t>
        </is>
      </c>
      <c r="H1" s="4" t="inlineStr">
        <is>
          <t>A . Ş .</t>
        </is>
      </c>
    </row>
    <row r="3">
      <c r="A3" s="4" t="inlineStr">
        <is>
          <t>M A R T</t>
        </is>
      </c>
      <c r="B3" s="4" t="inlineStr">
        <is>
          <t>2 0 2 6 T R A F</t>
        </is>
      </c>
      <c r="C3" s="4" t="inlineStr">
        <is>
          <t>İ K</t>
        </is>
      </c>
      <c r="D3" s="4" t="inlineStr">
        <is>
          <t>S</t>
        </is>
      </c>
      <c r="E3" s="4" t="inlineStr">
        <is>
          <t>O N U</t>
        </is>
      </c>
      <c r="F3" s="4" t="inlineStr">
        <is>
          <t>Ç L</t>
        </is>
      </c>
      <c r="G3" s="4" t="inlineStr">
        <is>
          <t>A R</t>
        </is>
      </c>
      <c r="H3" s="4" t="inlineStr">
        <is>
          <t>I</t>
        </is>
      </c>
    </row>
    <row r="5">
      <c r="A5" s="4" t="inlineStr">
        <is>
          <t>A Y L</t>
        </is>
      </c>
      <c r="B5" s="4" t="inlineStr">
        <is>
          <t>I K</t>
        </is>
      </c>
      <c r="C5" s="4" t="inlineStr">
        <is>
          <t>K Ü</t>
        </is>
      </c>
      <c r="D5" s="4" t="inlineStr">
        <is>
          <t>M Ü L</t>
        </is>
      </c>
      <c r="E5" s="4" t="inlineStr">
        <is>
          <t>A T İ F</t>
        </is>
      </c>
    </row>
    <row r="7">
      <c r="A7" s="4" t="inlineStr">
        <is>
          <t>M a</t>
        </is>
      </c>
      <c r="B7" s="4" t="inlineStr">
        <is>
          <t>r t</t>
        </is>
      </c>
      <c r="C7" s="4" t="inlineStr">
        <is>
          <t>M a</t>
        </is>
      </c>
      <c r="D7" s="4" t="inlineStr">
        <is>
          <t>r t</t>
        </is>
      </c>
      <c r="E7" s="4" t="inlineStr">
        <is>
          <t>' 2 6 /</t>
        </is>
      </c>
      <c r="F7" s="4" t="inlineStr">
        <is>
          <t>' 2 5 O c</t>
        </is>
      </c>
      <c r="G7" s="4" t="inlineStr">
        <is>
          <t>a . -</t>
        </is>
      </c>
      <c r="H7" s="4" t="inlineStr">
        <is>
          <t>M a r . O c</t>
        </is>
      </c>
      <c r="I7" s="4" t="inlineStr">
        <is>
          <t>a . - M</t>
        </is>
      </c>
      <c r="J7" s="4" t="inlineStr">
        <is>
          <t>a r . ' 2</t>
        </is>
      </c>
      <c r="K7" s="4" t="inlineStr">
        <is>
          <t>6 / '</t>
        </is>
      </c>
    </row>
    <row r="9">
      <c r="A9" s="4" t="inlineStr">
        <is>
          <t>2 0</t>
        </is>
      </c>
      <c r="B9" s="5" t="n">
        <v>26</v>
      </c>
      <c r="C9" s="5" t="n">
        <v>20</v>
      </c>
      <c r="D9" s="5" t="n">
        <v>25</v>
      </c>
      <c r="E9" s="4" t="inlineStr">
        <is>
          <t>% D</t>
        </is>
      </c>
      <c r="F9" s="4" t="inlineStr">
        <is>
          <t>e ğ .</t>
        </is>
      </c>
      <c r="G9" s="5" t="n">
        <v>202</v>
      </c>
      <c r="H9" s="5" t="n">
        <v>6</v>
      </c>
      <c r="I9" s="5" t="n">
        <v>2025</v>
      </c>
      <c r="J9" s="4" t="inlineStr">
        <is>
          <t>%</t>
        </is>
      </c>
      <c r="K9" s="4" t="inlineStr">
        <is>
          <t>D e</t>
        </is>
      </c>
    </row>
    <row r="11">
      <c r="A11" s="4" t="inlineStr">
        <is>
          <t>M i</t>
        </is>
      </c>
      <c r="B11" s="4" t="inlineStr">
        <is>
          <t>s</t>
        </is>
      </c>
      <c r="C11" s="4" t="inlineStr">
        <is>
          <t>a f i r</t>
        </is>
      </c>
      <c r="D11" s="4" t="inlineStr">
        <is>
          <t>s a y</t>
        </is>
      </c>
      <c r="E11" s="4" t="inlineStr">
        <is>
          <t>ı s ı</t>
        </is>
      </c>
      <c r="F11" s="4" t="inlineStr">
        <is>
          <t>, m n</t>
        </is>
      </c>
      <c r="G11" s="6" t="n">
        <v>3.1</v>
      </c>
      <c r="H11" s="5" t="n">
        <v>6</v>
      </c>
      <c r="I11" s="5" t="n">
        <v>3</v>
      </c>
      <c r="J11" s="5" t="n">
        <v>1</v>
      </c>
      <c r="K11" s="7" t="n">
        <v>0.05</v>
      </c>
      <c r="L11" s="6" t="n">
        <v>9.800000000000001</v>
      </c>
      <c r="M11" s="5" t="n">
        <v>3</v>
      </c>
      <c r="N11" s="6" t="n">
        <v>9.02</v>
      </c>
      <c r="O11" s="7" t="n">
        <v>0.09</v>
      </c>
    </row>
    <row r="13">
      <c r="A13" s="4" t="inlineStr">
        <is>
          <t>K o</t>
        </is>
      </c>
      <c r="B13" s="4" t="inlineStr">
        <is>
          <t>n</t>
        </is>
      </c>
      <c r="C13" s="4" t="inlineStr">
        <is>
          <t>m a</t>
        </is>
      </c>
      <c r="D13" s="6" t="n">
        <v>17.7</v>
      </c>
      <c r="E13" s="5" t="n">
        <v>86</v>
      </c>
      <c r="F13" s="6" t="n">
        <v>16.8</v>
      </c>
      <c r="G13" s="5" t="n">
        <v>84</v>
      </c>
      <c r="H13" s="7" t="n">
        <v>0.05</v>
      </c>
      <c r="I13" s="5" t="n">
        <v>5</v>
      </c>
      <c r="J13" s="6" t="n">
        <v>4.2</v>
      </c>
      <c r="K13" s="5" t="n">
        <v>40</v>
      </c>
      <c r="L13" s="6" t="n">
        <v>49.85</v>
      </c>
      <c r="M13" s="5" t="n">
        <v>6</v>
      </c>
      <c r="N13" s="7" t="n">
        <v>0.09</v>
      </c>
    </row>
    <row r="15">
      <c r="A15" s="4" t="inlineStr">
        <is>
          <t>K o</t>
        </is>
      </c>
      <c r="B15" s="4" t="inlineStr">
        <is>
          <t>lt</t>
        </is>
      </c>
      <c r="C15" s="4" t="inlineStr">
        <is>
          <t>u k s</t>
        </is>
      </c>
      <c r="D15" s="4" t="inlineStr">
        <is>
          <t>a y ı</t>
        </is>
      </c>
      <c r="E15" s="4" t="inlineStr">
        <is>
          <t>s ı ,</t>
        </is>
      </c>
      <c r="F15" s="4" t="inlineStr">
        <is>
          <t>m n</t>
        </is>
      </c>
      <c r="G15" s="6" t="n">
        <v>3.7</v>
      </c>
      <c r="H15" s="5" t="n">
        <v>4</v>
      </c>
      <c r="I15" s="6" t="n">
        <v>3.5</v>
      </c>
      <c r="J15" s="5" t="n">
        <v>7</v>
      </c>
      <c r="K15" s="7" t="n">
        <v>0.05</v>
      </c>
      <c r="L15" s="5" t="n">
        <v>11</v>
      </c>
      <c r="M15" s="5" t="n">
        <v>39</v>
      </c>
      <c r="N15" s="6" t="n">
        <v>10.4</v>
      </c>
      <c r="O15" s="5" t="n">
        <v>8</v>
      </c>
      <c r="P15" s="7" t="n">
        <v>0.09</v>
      </c>
    </row>
    <row r="17">
      <c r="A17" s="2" t="inlineStr">
        <is>
          <t>T o p l a m</t>
        </is>
      </c>
    </row>
    <row r="18">
      <c r="A18" s="4" t="inlineStr">
        <is>
          <t>D</t>
        </is>
      </c>
      <c r="B18" s="4" t="inlineStr">
        <is>
          <t>o l</t>
        </is>
      </c>
      <c r="C18" s="4" t="inlineStr">
        <is>
          <t>u l u k</t>
        </is>
      </c>
      <c r="D18" s="4" t="inlineStr">
        <is>
          <t>O</t>
        </is>
      </c>
      <c r="E18" s="4" t="inlineStr">
        <is>
          <t>r a n</t>
        </is>
      </c>
      <c r="F18" s="4" t="inlineStr">
        <is>
          <t>ı</t>
        </is>
      </c>
      <c r="G18" s="5" t="n">
        <v>84</v>
      </c>
      <c r="H18" s="7" t="n">
        <v>0.05</v>
      </c>
      <c r="I18" s="5" t="n">
        <v>84</v>
      </c>
      <c r="J18" s="7" t="n">
        <v>0.03</v>
      </c>
      <c r="K18" s="6" t="n">
        <v>0.2</v>
      </c>
      <c r="L18" s="4" t="inlineStr">
        <is>
          <t>p 8</t>
        </is>
      </c>
      <c r="M18" s="6" t="n">
        <v>6.3</v>
      </c>
      <c r="N18" s="4" t="inlineStr">
        <is>
          <t>%</t>
        </is>
      </c>
      <c r="O18" s="6" t="n">
        <v>86.09999999999999</v>
      </c>
      <c r="P18" s="4" t="inlineStr">
        <is>
          <t>%</t>
        </is>
      </c>
      <c r="Q18" s="8" t="n">
        <v>0.2</v>
      </c>
    </row>
    <row r="20">
      <c r="A20" s="4" t="inlineStr">
        <is>
          <t>A S</t>
        </is>
      </c>
      <c r="B20" s="4" t="inlineStr">
        <is>
          <t>K ( m</t>
        </is>
      </c>
      <c r="C20" s="4" t="inlineStr">
        <is>
          <t>ln k</t>
        </is>
      </c>
      <c r="D20" s="4" t="inlineStr">
        <is>
          <t>m )</t>
        </is>
      </c>
      <c r="E20" s="6" t="n">
        <v>5.6</v>
      </c>
      <c r="F20" s="5" t="n">
        <v>29</v>
      </c>
      <c r="G20" s="6" t="n">
        <v>5.4</v>
      </c>
      <c r="H20" s="5" t="n">
        <v>68</v>
      </c>
      <c r="I20" s="7" t="n">
        <v>0.03</v>
      </c>
      <c r="J20" s="5" t="n">
        <v>1</v>
      </c>
      <c r="K20" s="6" t="n">
        <v>7.5</v>
      </c>
      <c r="L20" s="5" t="n">
        <v>45</v>
      </c>
      <c r="M20" s="6" t="n">
        <v>16.11</v>
      </c>
      <c r="N20" s="5" t="n">
        <v>7</v>
      </c>
      <c r="O20" s="7" t="n">
        <v>0.09</v>
      </c>
    </row>
    <row r="22">
      <c r="A22" s="4" t="inlineStr">
        <is>
          <t>K o</t>
        </is>
      </c>
      <c r="B22" s="4" t="inlineStr">
        <is>
          <t>n</t>
        </is>
      </c>
      <c r="C22" s="4" t="inlineStr">
        <is>
          <t>m a</t>
        </is>
      </c>
      <c r="D22" s="4" t="inlineStr">
        <is>
          <t>b a ş</t>
        </is>
      </c>
      <c r="E22" s="4" t="inlineStr">
        <is>
          <t>ı n</t>
        </is>
      </c>
      <c r="F22" s="4" t="inlineStr">
        <is>
          <t>a M i s a f</t>
        </is>
      </c>
      <c r="G22" s="4" t="inlineStr">
        <is>
          <t>i r</t>
        </is>
      </c>
      <c r="H22" s="5" t="n">
        <v>17</v>
      </c>
      <c r="I22" s="5" t="n">
        <v>7</v>
      </c>
      <c r="J22" s="5" t="n">
        <v>17</v>
      </c>
      <c r="K22" s="5" t="n">
        <v>8</v>
      </c>
      <c r="L22" s="7" t="n">
        <v>0</v>
      </c>
      <c r="M22" s="5" t="n">
        <v>18</v>
      </c>
      <c r="N22" s="5" t="n">
        <v>1</v>
      </c>
      <c r="O22" s="5" t="n">
        <v>181</v>
      </c>
      <c r="P22" s="7" t="n">
        <v>0</v>
      </c>
    </row>
    <row r="24">
      <c r="A24" s="4" t="inlineStr">
        <is>
          <t>M i</t>
        </is>
      </c>
      <c r="B24" s="4" t="inlineStr">
        <is>
          <t>s</t>
        </is>
      </c>
      <c r="C24" s="4" t="inlineStr">
        <is>
          <t>a f i r</t>
        </is>
      </c>
      <c r="D24" s="4" t="inlineStr">
        <is>
          <t>s a y</t>
        </is>
      </c>
      <c r="E24" s="4" t="inlineStr">
        <is>
          <t>ı s ı</t>
        </is>
      </c>
      <c r="F24" s="4" t="inlineStr">
        <is>
          <t>, m n</t>
        </is>
      </c>
      <c r="G24" s="6" t="n">
        <v>1.3</v>
      </c>
      <c r="H24" s="5" t="n">
        <v>0</v>
      </c>
      <c r="I24" s="6" t="n">
        <v>1.1</v>
      </c>
      <c r="J24" s="5" t="n">
        <v>1</v>
      </c>
      <c r="K24" s="5" t="n">
        <v>18</v>
      </c>
      <c r="L24" s="4" t="inlineStr">
        <is>
          <t>%</t>
        </is>
      </c>
      <c r="M24" s="6" t="n">
        <v>3.8</v>
      </c>
      <c r="N24" s="5" t="n">
        <v>1</v>
      </c>
      <c r="O24" s="6" t="n">
        <v>3.3</v>
      </c>
      <c r="P24" s="7" t="n">
        <v>0.15</v>
      </c>
    </row>
    <row r="26">
      <c r="A26" s="4" t="inlineStr">
        <is>
          <t>K o</t>
        </is>
      </c>
      <c r="B26" s="4" t="inlineStr">
        <is>
          <t>n</t>
        </is>
      </c>
      <c r="C26" s="4" t="inlineStr">
        <is>
          <t>m a</t>
        </is>
      </c>
      <c r="D26" s="5" t="n">
        <v>7</v>
      </c>
      <c r="E26" s="5" t="n">
        <v>21</v>
      </c>
      <c r="F26" s="5" t="n">
        <v>6</v>
      </c>
      <c r="G26" s="5" t="n">
        <v>88</v>
      </c>
      <c r="H26" s="5" t="n">
        <v>15</v>
      </c>
      <c r="I26" s="7" t="n">
        <v>0.02</v>
      </c>
      <c r="J26" s="5" t="n">
        <v>0</v>
      </c>
      <c r="K26" s="5" t="n">
        <v>53</v>
      </c>
      <c r="L26" s="6" t="n">
        <v>17.64</v>
      </c>
      <c r="M26" s="5" t="n">
        <v>4</v>
      </c>
      <c r="N26" s="7" t="n">
        <v>0.14</v>
      </c>
    </row>
    <row r="28">
      <c r="A28" s="4" t="inlineStr">
        <is>
          <t>K o</t>
        </is>
      </c>
      <c r="B28" s="4" t="inlineStr">
        <is>
          <t>lt</t>
        </is>
      </c>
      <c r="C28" s="4" t="inlineStr">
        <is>
          <t>u k s</t>
        </is>
      </c>
      <c r="D28" s="4" t="inlineStr">
        <is>
          <t>a y ı</t>
        </is>
      </c>
      <c r="E28" s="4" t="inlineStr">
        <is>
          <t>s ı ,</t>
        </is>
      </c>
      <c r="F28" s="4" t="inlineStr">
        <is>
          <t>m n</t>
        </is>
      </c>
      <c r="G28" s="6" t="n">
        <v>1.4</v>
      </c>
      <c r="H28" s="5" t="n">
        <v>8</v>
      </c>
      <c r="I28" s="6" t="n">
        <v>1.2</v>
      </c>
      <c r="J28" s="5" t="n">
        <v>8</v>
      </c>
      <c r="K28" s="5" t="n">
        <v>16</v>
      </c>
      <c r="L28" s="4" t="inlineStr">
        <is>
          <t>%</t>
        </is>
      </c>
      <c r="M28" s="6" t="n">
        <v>4.2</v>
      </c>
      <c r="N28" s="5" t="n">
        <v>2</v>
      </c>
      <c r="O28" s="6" t="n">
        <v>3.69</v>
      </c>
      <c r="P28" s="7" t="n">
        <v>0.14</v>
      </c>
    </row>
    <row r="30">
      <c r="A30" s="4" t="inlineStr">
        <is>
          <t>İ ç H a t l a</t>
        </is>
      </c>
      <c r="B30" s="4" t="inlineStr">
        <is>
          <t>r</t>
        </is>
      </c>
    </row>
    <row r="31">
      <c r="A31" s="4" t="inlineStr">
        <is>
          <t>D</t>
        </is>
      </c>
      <c r="B31" s="4" t="inlineStr">
        <is>
          <t>o l</t>
        </is>
      </c>
      <c r="C31" s="4" t="inlineStr">
        <is>
          <t>u l u k</t>
        </is>
      </c>
      <c r="D31" s="4" t="inlineStr">
        <is>
          <t>O</t>
        </is>
      </c>
      <c r="E31" s="4" t="inlineStr">
        <is>
          <t>r a n</t>
        </is>
      </c>
      <c r="F31" s="4" t="inlineStr">
        <is>
          <t>ı</t>
        </is>
      </c>
      <c r="G31" s="5" t="n">
        <v>88</v>
      </c>
      <c r="H31" s="7" t="n">
        <v>0.01</v>
      </c>
      <c r="I31" s="5" t="n">
        <v>86</v>
      </c>
      <c r="J31" s="7" t="n">
        <v>0.09</v>
      </c>
      <c r="K31" s="6" t="n">
        <v>1.2</v>
      </c>
      <c r="L31" s="4" t="inlineStr">
        <is>
          <t>p 9</t>
        </is>
      </c>
      <c r="M31" s="6" t="n">
        <v>0.3</v>
      </c>
      <c r="N31" s="4" t="inlineStr">
        <is>
          <t>%</t>
        </is>
      </c>
      <c r="O31" s="6" t="n">
        <v>89.59999999999999</v>
      </c>
      <c r="P31" s="4" t="inlineStr">
        <is>
          <t>%</t>
        </is>
      </c>
      <c r="Q31" s="8" t="n">
        <v>0.7</v>
      </c>
    </row>
    <row r="33">
      <c r="A33" s="4" t="inlineStr">
        <is>
          <t>A S</t>
        </is>
      </c>
      <c r="B33" s="4" t="inlineStr">
        <is>
          <t>K ( m</t>
        </is>
      </c>
      <c r="C33" s="4" t="inlineStr">
        <is>
          <t>ln k</t>
        </is>
      </c>
      <c r="D33" s="4" t="inlineStr">
        <is>
          <t>m )</t>
        </is>
      </c>
      <c r="E33" s="6" t="n">
        <v>1.1</v>
      </c>
      <c r="F33" s="5" t="n">
        <v>46</v>
      </c>
      <c r="G33" s="5" t="n">
        <v>97</v>
      </c>
      <c r="H33" s="5" t="n">
        <v>1</v>
      </c>
      <c r="I33" s="5" t="n">
        <v>18</v>
      </c>
      <c r="J33" s="4" t="inlineStr">
        <is>
          <t>%</t>
        </is>
      </c>
      <c r="K33" s="6" t="n">
        <v>3.27</v>
      </c>
      <c r="L33" s="5" t="n">
        <v>9</v>
      </c>
      <c r="M33" s="6" t="n">
        <v>2.79</v>
      </c>
      <c r="N33" s="5" t="n">
        <v>4</v>
      </c>
      <c r="O33" s="7" t="n">
        <v>0.17</v>
      </c>
    </row>
    <row r="35">
      <c r="A35" s="4" t="inlineStr">
        <is>
          <t>K o</t>
        </is>
      </c>
      <c r="B35" s="4" t="inlineStr">
        <is>
          <t>n</t>
        </is>
      </c>
      <c r="C35" s="4" t="inlineStr">
        <is>
          <t>m a</t>
        </is>
      </c>
      <c r="D35" s="4" t="inlineStr">
        <is>
          <t>b a ş</t>
        </is>
      </c>
      <c r="E35" s="4" t="inlineStr">
        <is>
          <t>ı n</t>
        </is>
      </c>
      <c r="F35" s="4" t="inlineStr">
        <is>
          <t>a M i s a f</t>
        </is>
      </c>
      <c r="G35" s="4" t="inlineStr">
        <is>
          <t>i r</t>
        </is>
      </c>
      <c r="H35" s="5" t="n">
        <v>18</v>
      </c>
      <c r="I35" s="5" t="n">
        <v>6</v>
      </c>
      <c r="J35" s="5" t="n">
        <v>18</v>
      </c>
      <c r="K35" s="5" t="n">
        <v>2</v>
      </c>
      <c r="L35" s="7" t="n">
        <v>0.02</v>
      </c>
      <c r="M35" s="5" t="n">
        <v>19</v>
      </c>
      <c r="N35" s="5" t="n">
        <v>0</v>
      </c>
      <c r="O35" s="5" t="n">
        <v>187</v>
      </c>
      <c r="P35" s="7" t="n">
        <v>0.02</v>
      </c>
    </row>
    <row r="37">
      <c r="A37" s="4" t="inlineStr">
        <is>
          <t>M i</t>
        </is>
      </c>
      <c r="B37" s="4" t="inlineStr">
        <is>
          <t>s</t>
        </is>
      </c>
      <c r="C37" s="4" t="inlineStr">
        <is>
          <t>a f i r</t>
        </is>
      </c>
      <c r="D37" s="4" t="inlineStr">
        <is>
          <t>s a y</t>
        </is>
      </c>
      <c r="E37" s="4" t="inlineStr">
        <is>
          <t>ı s ı</t>
        </is>
      </c>
      <c r="F37" s="4" t="inlineStr">
        <is>
          <t>, m n</t>
        </is>
      </c>
      <c r="G37" s="6" t="n">
        <v>1.8</v>
      </c>
      <c r="H37" s="5" t="n">
        <v>5</v>
      </c>
      <c r="I37" s="6" t="n">
        <v>1.9</v>
      </c>
      <c r="J37" s="5" t="n">
        <v>0</v>
      </c>
      <c r="K37" s="5" t="n">
        <v>-2</v>
      </c>
      <c r="L37" s="4" t="inlineStr">
        <is>
          <t>%</t>
        </is>
      </c>
      <c r="M37" s="5" t="n">
        <v>6</v>
      </c>
      <c r="N37" s="5" t="n">
        <v>2</v>
      </c>
      <c r="O37" s="6" t="n">
        <v>5.72</v>
      </c>
      <c r="P37" s="7" t="n">
        <v>0.05</v>
      </c>
    </row>
    <row r="39">
      <c r="A39" s="4" t="inlineStr">
        <is>
          <t>K o</t>
        </is>
      </c>
      <c r="B39" s="4" t="inlineStr">
        <is>
          <t>n</t>
        </is>
      </c>
      <c r="C39" s="4" t="inlineStr">
        <is>
          <t>m a</t>
        </is>
      </c>
      <c r="D39" s="6" t="n">
        <v>10.7</v>
      </c>
      <c r="E39" s="5" t="n">
        <v>65</v>
      </c>
      <c r="F39" s="6" t="n">
        <v>10.7</v>
      </c>
      <c r="G39" s="5" t="n">
        <v>96</v>
      </c>
      <c r="H39" s="7" t="n">
        <v>0</v>
      </c>
      <c r="I39" s="5" t="n">
        <v>3</v>
      </c>
      <c r="J39" s="6" t="n">
        <v>4.1</v>
      </c>
      <c r="K39" s="5" t="n">
        <v>87</v>
      </c>
      <c r="L39" s="6" t="n">
        <v>32.21</v>
      </c>
      <c r="M39" s="5" t="n">
        <v>2</v>
      </c>
      <c r="N39" s="7" t="n">
        <v>0.06</v>
      </c>
    </row>
    <row r="41">
      <c r="A41" s="4" t="inlineStr">
        <is>
          <t>K o</t>
        </is>
      </c>
      <c r="B41" s="4" t="inlineStr">
        <is>
          <t>lt</t>
        </is>
      </c>
      <c r="C41" s="4" t="inlineStr">
        <is>
          <t>u k s</t>
        </is>
      </c>
      <c r="D41" s="4" t="inlineStr">
        <is>
          <t>a y ı</t>
        </is>
      </c>
      <c r="E41" s="4" t="inlineStr">
        <is>
          <t>s ı ,</t>
        </is>
      </c>
      <c r="F41" s="4" t="inlineStr">
        <is>
          <t>m n</t>
        </is>
      </c>
      <c r="G41" s="6" t="n">
        <v>2.2</v>
      </c>
      <c r="H41" s="5" t="n">
        <v>5</v>
      </c>
      <c r="I41" s="6" t="n">
        <v>2.2</v>
      </c>
      <c r="J41" s="5" t="n">
        <v>9</v>
      </c>
      <c r="K41" s="5" t="n">
        <v>-1</v>
      </c>
      <c r="L41" s="4" t="inlineStr">
        <is>
          <t>%</t>
        </is>
      </c>
      <c r="M41" s="6" t="n">
        <v>7.1</v>
      </c>
      <c r="N41" s="5" t="n">
        <v>8</v>
      </c>
      <c r="O41" s="6" t="n">
        <v>6.8</v>
      </c>
      <c r="P41" s="7" t="n">
        <v>0.06</v>
      </c>
    </row>
    <row r="43">
      <c r="A43" s="4" t="inlineStr">
        <is>
          <t>D ı ş H a t</t>
        </is>
      </c>
      <c r="B43" s="4" t="inlineStr">
        <is>
          <t>l a r *</t>
        </is>
      </c>
    </row>
    <row r="44">
      <c r="A44" s="4" t="inlineStr">
        <is>
          <t>D</t>
        </is>
      </c>
      <c r="B44" s="4" t="inlineStr">
        <is>
          <t>o l</t>
        </is>
      </c>
      <c r="C44" s="4" t="inlineStr">
        <is>
          <t>u l u k</t>
        </is>
      </c>
      <c r="D44" s="4" t="inlineStr">
        <is>
          <t>O</t>
        </is>
      </c>
      <c r="E44" s="4" t="inlineStr">
        <is>
          <t>r a n</t>
        </is>
      </c>
      <c r="F44" s="4" t="inlineStr">
        <is>
          <t>ı</t>
        </is>
      </c>
      <c r="G44" s="5" t="n">
        <v>82</v>
      </c>
      <c r="H44" s="7" t="n">
        <v>0.01</v>
      </c>
      <c r="I44" s="5" t="n">
        <v>82</v>
      </c>
      <c r="J44" s="7" t="n">
        <v>0.09</v>
      </c>
      <c r="K44" s="6" t="n">
        <v>-0.7</v>
      </c>
      <c r="L44" s="4" t="inlineStr">
        <is>
          <t>p 8</t>
        </is>
      </c>
      <c r="M44" s="5" t="n">
        <v>4</v>
      </c>
      <c r="N44" s="4" t="inlineStr">
        <is>
          <t>%</t>
        </is>
      </c>
      <c r="O44" s="6" t="n">
        <v>84.2</v>
      </c>
      <c r="P44" s="4" t="inlineStr">
        <is>
          <t>% -</t>
        </is>
      </c>
      <c r="Q44" s="6" t="n">
        <v>0.2</v>
      </c>
    </row>
    <row r="46">
      <c r="A46" s="4" t="inlineStr">
        <is>
          <t>A S</t>
        </is>
      </c>
      <c r="B46" s="4" t="inlineStr">
        <is>
          <t>K ( m</t>
        </is>
      </c>
      <c r="C46" s="4" t="inlineStr">
        <is>
          <t>ln k</t>
        </is>
      </c>
      <c r="D46" s="4" t="inlineStr">
        <is>
          <t>m )</t>
        </is>
      </c>
      <c r="E46" s="6" t="n">
        <v>4.4</v>
      </c>
      <c r="F46" s="5" t="n">
        <v>83</v>
      </c>
      <c r="G46" s="6" t="n">
        <v>4.4</v>
      </c>
      <c r="H46" s="5" t="n">
        <v>97</v>
      </c>
      <c r="I46" s="7" t="n">
        <v>0</v>
      </c>
      <c r="J46" s="5" t="n">
        <v>1</v>
      </c>
      <c r="K46" s="6" t="n">
        <v>4.2</v>
      </c>
      <c r="L46" s="5" t="n">
        <v>66</v>
      </c>
      <c r="M46" s="6" t="n">
        <v>13.32</v>
      </c>
      <c r="N46" s="5" t="n">
        <v>4</v>
      </c>
      <c r="O46" s="7" t="n">
        <v>0.07000000000000001</v>
      </c>
    </row>
    <row r="48">
      <c r="A48" s="4" t="inlineStr">
        <is>
          <t>K o</t>
        </is>
      </c>
      <c r="B48" s="4" t="inlineStr">
        <is>
          <t>n</t>
        </is>
      </c>
      <c r="C48" s="4" t="inlineStr">
        <is>
          <t>m a</t>
        </is>
      </c>
      <c r="D48" s="4" t="inlineStr">
        <is>
          <t>b a ş</t>
        </is>
      </c>
      <c r="E48" s="4" t="inlineStr">
        <is>
          <t>ı n</t>
        </is>
      </c>
      <c r="F48" s="4" t="inlineStr">
        <is>
          <t>a M i s a f</t>
        </is>
      </c>
      <c r="G48" s="4" t="inlineStr">
        <is>
          <t>i r</t>
        </is>
      </c>
      <c r="H48" s="5" t="n">
        <v>17</v>
      </c>
      <c r="I48" s="5" t="n">
        <v>2</v>
      </c>
      <c r="J48" s="5" t="n">
        <v>17</v>
      </c>
      <c r="K48" s="5" t="n">
        <v>6</v>
      </c>
      <c r="L48" s="5" t="n">
        <v>-2</v>
      </c>
      <c r="M48" s="4" t="inlineStr">
        <is>
          <t>%</t>
        </is>
      </c>
      <c r="N48" s="5" t="n">
        <v>17</v>
      </c>
      <c r="O48" s="5" t="n">
        <v>6</v>
      </c>
      <c r="P48" s="5" t="n">
        <v>178</v>
      </c>
      <c r="Q48" s="7" t="n">
        <v>-0.01</v>
      </c>
    </row>
    <row r="50">
      <c r="A50" s="4" t="inlineStr">
        <is>
          <t>* C h a r t e r</t>
        </is>
      </c>
      <c r="B50" s="4" t="inlineStr">
        <is>
          <t>d a h il</t>
        </is>
      </c>
    </row>
    <row r="52">
      <c r="A52" s="4" t="inlineStr">
        <is>
          <t>K a r b o n</t>
        </is>
      </c>
      <c r="B52" s="4" t="inlineStr">
        <is>
          <t>E m i s y o n</t>
        </is>
      </c>
      <c r="C52" s="4" t="inlineStr">
        <is>
          <t>u</t>
        </is>
      </c>
      <c r="D52" s="4" t="inlineStr">
        <is>
          <t>İ s</t>
        </is>
      </c>
      <c r="E52" s="4" t="inlineStr">
        <is>
          <t>t a t i</t>
        </is>
      </c>
      <c r="F52" s="4" t="inlineStr">
        <is>
          <t>s t i k</t>
        </is>
      </c>
      <c r="G52" s="4" t="inlineStr">
        <is>
          <t>l e r</t>
        </is>
      </c>
      <c r="H52" s="4" t="inlineStr">
        <is>
          <t>i</t>
        </is>
      </c>
    </row>
    <row r="54">
      <c r="A54" s="4" t="inlineStr">
        <is>
          <t>A Y L</t>
        </is>
      </c>
      <c r="B54" s="4" t="inlineStr">
        <is>
          <t>I K</t>
        </is>
      </c>
      <c r="C54" s="5" t="n">
        <v>20</v>
      </c>
      <c r="D54" s="5" t="n">
        <v>26</v>
      </c>
      <c r="E54" s="5" t="n">
        <v>202</v>
      </c>
      <c r="F54" s="4" t="inlineStr">
        <is>
          <t>5 C</t>
        </is>
      </c>
      <c r="G54" s="4" t="inlineStr">
        <is>
          <t>U M</t>
        </is>
      </c>
      <c r="H54" s="4" t="inlineStr">
        <is>
          <t>U L .</t>
        </is>
      </c>
      <c r="I54" s="5" t="n">
        <v>2026</v>
      </c>
      <c r="J54" s="5" t="n">
        <v>202</v>
      </c>
    </row>
    <row r="56">
      <c r="A56" s="4" t="inlineStr">
        <is>
          <t>C O 2 g r a</t>
        </is>
      </c>
      <c r="B56" s="4" t="inlineStr">
        <is>
          <t>m / R P K</t>
        </is>
      </c>
      <c r="C56" s="4" t="inlineStr">
        <is>
          <t>O c</t>
        </is>
      </c>
      <c r="D56" s="4" t="inlineStr">
        <is>
          <t>a k</t>
        </is>
      </c>
      <c r="E56" s="5" t="n">
        <v>57</v>
      </c>
      <c r="F56" s="6" t="n">
        <v>0.2</v>
      </c>
      <c r="G56" s="5" t="n">
        <v>58</v>
      </c>
      <c r="H56" s="5" t="n">
        <v>2</v>
      </c>
      <c r="I56" s="4" t="inlineStr">
        <is>
          <t>1 A</t>
        </is>
      </c>
      <c r="J56" s="6" t="n">
        <v>57.2</v>
      </c>
      <c r="K56" s="5" t="n">
        <v>58</v>
      </c>
    </row>
    <row r="58">
      <c r="A58" s="4" t="inlineStr">
        <is>
          <t>Ş u b</t>
        </is>
      </c>
      <c r="B58" s="4" t="inlineStr">
        <is>
          <t>a t</t>
        </is>
      </c>
      <c r="C58" s="5" t="n">
        <v>56</v>
      </c>
      <c r="D58" s="6" t="n">
        <v>0.5</v>
      </c>
      <c r="E58" s="5" t="n">
        <v>55</v>
      </c>
      <c r="F58" s="5" t="n">
        <v>5</v>
      </c>
      <c r="G58" s="4" t="inlineStr">
        <is>
          <t>2 A</t>
        </is>
      </c>
      <c r="H58" s="6" t="n">
        <v>56.9</v>
      </c>
      <c r="I58" s="5" t="n">
        <v>56</v>
      </c>
    </row>
    <row r="60">
      <c r="A60" s="4" t="inlineStr">
        <is>
          <t>M a</t>
        </is>
      </c>
      <c r="B60" s="4" t="inlineStr">
        <is>
          <t>r t</t>
        </is>
      </c>
      <c r="C60" s="5" t="n">
        <v>58</v>
      </c>
      <c r="D60" s="5" t="n">
        <v>0</v>
      </c>
      <c r="E60" s="5" t="n">
        <v>57</v>
      </c>
      <c r="F60" s="5" t="n">
        <v>5</v>
      </c>
      <c r="G60" s="4" t="inlineStr">
        <is>
          <t>3 A</t>
        </is>
      </c>
      <c r="H60" s="6" t="n">
        <v>57.2</v>
      </c>
      <c r="I60" s="5" t="n">
        <v>57</v>
      </c>
    </row>
    <row r="62">
      <c r="A62" s="4" t="inlineStr">
        <is>
          <t>Y I L L I K</t>
        </is>
      </c>
      <c r="B62" s="5" t="n">
        <v>201</v>
      </c>
      <c r="C62" s="5" t="n">
        <v>9</v>
      </c>
      <c r="D62" s="5" t="n">
        <v>20</v>
      </c>
      <c r="E62" s="5" t="n">
        <v>20</v>
      </c>
      <c r="F62" s="5" t="n">
        <v>20</v>
      </c>
      <c r="G62" s="5" t="n">
        <v>21</v>
      </c>
      <c r="H62" s="5" t="n">
        <v>202</v>
      </c>
      <c r="I62" s="5" t="n">
        <v>2</v>
      </c>
      <c r="J62" s="5" t="n">
        <v>202</v>
      </c>
      <c r="K62" s="5" t="n">
        <v>3</v>
      </c>
      <c r="L62" s="5" t="n">
        <v>2024</v>
      </c>
      <c r="M62" s="5" t="n">
        <v>202</v>
      </c>
    </row>
    <row r="64">
      <c r="A64" s="4" t="inlineStr">
        <is>
          <t>C O 2 g r</t>
        </is>
      </c>
      <c r="B64" s="4" t="inlineStr">
        <is>
          <t>a m / R P K</t>
        </is>
      </c>
      <c r="C64" s="5" t="n">
        <v>65</v>
      </c>
      <c r="D64" s="5" t="n">
        <v>1</v>
      </c>
      <c r="E64" s="5" t="n">
        <v>71</v>
      </c>
      <c r="F64" s="6" t="n">
        <v>0.3</v>
      </c>
      <c r="G64" s="5" t="n">
        <v>71</v>
      </c>
      <c r="H64" s="5" t="n">
        <v>0</v>
      </c>
      <c r="I64" s="5" t="n">
        <v>62</v>
      </c>
      <c r="J64" s="5" t="n">
        <v>1</v>
      </c>
      <c r="K64" s="5" t="n">
        <v>61</v>
      </c>
      <c r="L64" s="5" t="n">
        <v>3</v>
      </c>
      <c r="M64" s="6" t="n">
        <v>58.3</v>
      </c>
      <c r="N64" s="5" t="n">
        <v>56</v>
      </c>
    </row>
    <row r="66">
      <c r="A66" s="4" t="inlineStr">
        <is>
          <t>Karbon</t>
        </is>
      </c>
      <c r="B66" s="4" t="inlineStr">
        <is>
          <t>Emisyonu</t>
        </is>
      </c>
      <c r="C66" s="4" t="inlineStr">
        <is>
          <t>İst</t>
        </is>
      </c>
      <c r="D66" s="4" t="inlineStr">
        <is>
          <t>a</t>
        </is>
      </c>
      <c r="E66" s="4" t="inlineStr">
        <is>
          <t>tistik</t>
        </is>
      </c>
      <c r="F66" s="4" t="inlineStr">
        <is>
          <t>leri</t>
        </is>
      </c>
      <c r="G66" s="4" t="inlineStr">
        <is>
          <t>nd</t>
        </is>
      </c>
      <c r="H66" s="4" t="inlineStr">
        <is>
          <t>e (grC</t>
        </is>
      </c>
      <c r="I66" s="4" t="inlineStr">
        <is>
          <t>O2/RP</t>
        </is>
      </c>
      <c r="J66" s="4" t="inlineStr">
        <is>
          <t>K) jet ya</t>
        </is>
      </c>
      <c r="K66" s="4" t="inlineStr">
        <is>
          <t>kıtı emisy</t>
        </is>
      </c>
      <c r="L66" s="4" t="inlineStr">
        <is>
          <t>on k</t>
        </is>
      </c>
      <c r="M66" s="4" t="inlineStr">
        <is>
          <t>atsay</t>
        </is>
      </c>
      <c r="N66" s="4" t="inlineStr">
        <is>
          <t>ısı baz yı</t>
        </is>
      </c>
      <c r="O66" s="4" t="inlineStr">
        <is>
          <t>l ve tüm ra</t>
        </is>
      </c>
      <c r="P66" s="4" t="inlineStr">
        <is>
          <t>por</t>
        </is>
      </c>
      <c r="Q66" s="4" t="inlineStr">
        <is>
          <t>lanan döne</t>
        </is>
      </c>
      <c r="R66" s="4" t="inlineStr">
        <is>
          <t>mler</t>
        </is>
      </c>
      <c r="S66" s="4" t="inlineStr">
        <is>
          <t>çin 3,16 ol</t>
        </is>
      </c>
      <c r="T66" s="4" t="inlineStr">
        <is>
          <t>ara</t>
        </is>
      </c>
    </row>
    <row r="67">
      <c r="A67" s="4" t="inlineStr">
        <is>
          <t>kullanılm</t>
        </is>
      </c>
      <c r="B67" s="4" t="inlineStr">
        <is>
          <t>ıştır.</t>
        </is>
      </c>
    </row>
    <row r="69">
      <c r="A69" s="4" t="inlineStr">
        <is>
          <t>Arz edile</t>
        </is>
      </c>
      <c r="B69" s="4" t="inlineStr">
        <is>
          <t>n Koltuk Kilo</t>
        </is>
      </c>
      <c r="C69" s="4" t="inlineStr">
        <is>
          <t>m</t>
        </is>
      </c>
      <c r="D69" s="4" t="inlineStr">
        <is>
          <t>et</t>
        </is>
      </c>
      <c r="E69" s="4" t="inlineStr">
        <is>
          <t>re (A</t>
        </is>
      </c>
      <c r="F69" s="4" t="inlineStr">
        <is>
          <t>SK)</t>
        </is>
      </c>
      <c r="G69" s="4">
        <f> U</f>
        <v/>
      </c>
      <c r="H69" s="4" t="inlineStr">
        <is>
          <t>çuşa a</t>
        </is>
      </c>
      <c r="I69" s="4" t="inlineStr">
        <is>
          <t>rz edile</t>
        </is>
      </c>
      <c r="J69" s="4" t="inlineStr">
        <is>
          <t>n koltuk s</t>
        </is>
      </c>
      <c r="K69" s="4" t="inlineStr">
        <is>
          <t>ayısı x Orta</t>
        </is>
      </c>
      <c r="L69" s="4" t="inlineStr">
        <is>
          <t>lama</t>
        </is>
      </c>
      <c r="M69" s="4" t="inlineStr">
        <is>
          <t>Uçuş</t>
        </is>
      </c>
      <c r="N69" s="4" t="inlineStr">
        <is>
          <t>Mesafesi</t>
        </is>
      </c>
    </row>
    <row r="71">
      <c r="A71" s="4" t="inlineStr">
        <is>
          <t>Doluluk O</t>
        </is>
      </c>
      <c r="B71" s="4" t="inlineStr">
        <is>
          <t>ranı = Bilet</t>
        </is>
      </c>
      <c r="C71" s="4" t="inlineStr">
        <is>
          <t>len</t>
        </is>
      </c>
      <c r="D71" s="4" t="inlineStr">
        <is>
          <t>m</t>
        </is>
      </c>
      <c r="E71" s="4" t="inlineStr">
        <is>
          <t>iş m</t>
        </is>
      </c>
      <c r="F71" s="4" t="inlineStr">
        <is>
          <t>isaf</t>
        </is>
      </c>
      <c r="G71" s="4" t="inlineStr">
        <is>
          <t>ir s</t>
        </is>
      </c>
      <c r="H71" s="4" t="inlineStr">
        <is>
          <t>ayısı / T</t>
        </is>
      </c>
      <c r="I71" s="4" t="inlineStr">
        <is>
          <t>oplam</t>
        </is>
      </c>
      <c r="J71" s="4" t="inlineStr">
        <is>
          <t>koltuk sa</t>
        </is>
      </c>
      <c r="K71" s="4" t="inlineStr">
        <is>
          <t>yısı</t>
        </is>
      </c>
    </row>
    <row r="73">
      <c r="A73" s="4" t="inlineStr">
        <is>
          <t>RPK (Rev</t>
        </is>
      </c>
      <c r="B73" s="4" t="inlineStr">
        <is>
          <t>enue Passen</t>
        </is>
      </c>
      <c r="C73" s="4" t="inlineStr">
        <is>
          <t>ge</t>
        </is>
      </c>
      <c r="D73" s="4" t="inlineStr">
        <is>
          <t>r</t>
        </is>
      </c>
      <c r="E73" s="4" t="inlineStr">
        <is>
          <t>Kilo</t>
        </is>
      </c>
      <c r="F73" s="4" t="inlineStr">
        <is>
          <t>met</t>
        </is>
      </c>
      <c r="G73" s="4" t="inlineStr">
        <is>
          <t>er):</t>
        </is>
      </c>
      <c r="H73" s="4" t="inlineStr">
        <is>
          <t>Ücretli</t>
        </is>
      </c>
      <c r="I73" s="4" t="inlineStr">
        <is>
          <t>Yolcu</t>
        </is>
      </c>
      <c r="J73" s="4" t="inlineStr">
        <is>
          <t>Kilometre</t>
        </is>
      </c>
    </row>
    <row r="75">
      <c r="A75" s="4" t="inlineStr">
        <is>
          <t>Genel (</t>
        </is>
      </c>
      <c r="B75" s="4" t="inlineStr">
        <is>
          <t>Public)</t>
        </is>
      </c>
    </row>
  </sheetData>
  <mergeCells count="1">
    <mergeCell ref="A17:T17"/>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7" customWidth="1" min="1" max="1"/>
    <col width="19" customWidth="1" min="2" max="2"/>
    <col width="23" customWidth="1" min="3" max="3"/>
    <col width="20" customWidth="1" min="4" max="4"/>
    <col width="14" customWidth="1" min="5" max="5"/>
    <col width="25" customWidth="1" min="6" max="6"/>
    <col width="15" customWidth="1" min="7" max="7"/>
    <col width="24" customWidth="1" min="8" max="8"/>
    <col width="26" customWidth="1" min="9" max="9"/>
    <col width="24" customWidth="1" min="10" max="10"/>
  </cols>
  <sheetData>
    <row r="1">
      <c r="A1" s="4" t="inlineStr">
        <is>
          <t>Bu belge Pegasus Hava</t>
        </is>
      </c>
      <c r="B1" s="4" t="inlineStr">
        <is>
          <t>Taşımacılığı An</t>
        </is>
      </c>
      <c r="C1" s="4" t="inlineStr">
        <is>
          <t>onim Şirketi (“Peg</t>
        </is>
      </c>
      <c r="D1" s="4" t="inlineStr">
        <is>
          <t>asus”) tarafında</t>
        </is>
      </c>
      <c r="E1" s="4" t="inlineStr">
        <is>
          <t>n Pegasus</t>
        </is>
      </c>
      <c r="F1" s="4" t="inlineStr">
        <is>
          <t>Bilgilendirme Politik</t>
        </is>
      </c>
      <c r="G1" s="4" t="inlineStr">
        <is>
          <t>ası uyarınca</t>
        </is>
      </c>
      <c r="H1" s="4" t="inlineStr">
        <is>
          <t>hazırlanmıştır. Bu b</t>
        </is>
      </c>
      <c r="I1" s="4" t="inlineStr">
        <is>
          <t>elgede yer alan bilgil</t>
        </is>
      </c>
      <c r="J1" s="4" t="inlineStr">
        <is>
          <t>er Pegasus’un kendi</t>
        </is>
      </c>
    </row>
    <row r="2">
      <c r="A2" s="3" t="inlineStr">
        <is>
          <t>kayıtlarına, Pegasus’un</t>
        </is>
      </c>
      <c r="B2" s="3" t="inlineStr">
        <is>
          <t>faaliyet göster</t>
        </is>
      </c>
      <c r="C2" s="3" t="inlineStr">
        <is>
          <t>diği pazarlara ait k</t>
        </is>
      </c>
      <c r="D2" s="3" t="inlineStr">
        <is>
          <t>endi bilgi ve tecr</t>
        </is>
      </c>
      <c r="E2" s="3" t="inlineStr">
        <is>
          <t>übeleri uy</t>
        </is>
      </c>
      <c r="F2" s="3" t="inlineStr">
        <is>
          <t>arınca gerçekleştirile</t>
        </is>
      </c>
      <c r="G2" s="3" t="inlineStr">
        <is>
          <t>n araştırma</t>
        </is>
      </c>
      <c r="H2" s="3" t="inlineStr">
        <is>
          <t>ve öngörülere veya</t>
        </is>
      </c>
      <c r="I2" s="3" t="inlineStr">
        <is>
          <t>Pegasus’un erişimine</t>
        </is>
      </c>
      <c r="J2" s="3" t="inlineStr">
        <is>
          <t>sunulan ve üçüncü</t>
        </is>
      </c>
    </row>
    <row r="3">
      <c r="A3" s="4" t="inlineStr">
        <is>
          <t>kişiler tarafından hazırl</t>
        </is>
      </c>
      <c r="B3" s="4" t="inlineStr">
        <is>
          <t>anan sektör, p</t>
        </is>
      </c>
      <c r="C3" s="4" t="inlineStr">
        <is>
          <t>iyasa ve benzeri ko</t>
        </is>
      </c>
      <c r="D3" s="4" t="inlineStr">
        <is>
          <t>nulara ilişkin ver</t>
        </is>
      </c>
      <c r="E3" s="4" t="inlineStr">
        <is>
          <t>ilere daya</t>
        </is>
      </c>
      <c r="F3" s="4" t="inlineStr">
        <is>
          <t>nmaktadır ve dış kay</t>
        </is>
      </c>
      <c r="G3" s="4" t="inlineStr">
        <is>
          <t>naklı verile</t>
        </is>
      </c>
      <c r="H3" s="4" t="inlineStr">
        <is>
          <t>r için kaynak gösteri</t>
        </is>
      </c>
      <c r="I3" s="4" t="inlineStr">
        <is>
          <t>lmektedir. Pegasus d</t>
        </is>
      </c>
      <c r="J3" s="4" t="inlineStr">
        <is>
          <t>ış kaynaklı verilerin</t>
        </is>
      </c>
    </row>
    <row r="4">
      <c r="A4" s="4" t="inlineStr">
        <is>
          <t>güvenilir kaynaklardan</t>
        </is>
      </c>
      <c r="B4" s="4" t="inlineStr">
        <is>
          <t>elde edildiğini</t>
        </is>
      </c>
      <c r="C4" s="4" t="inlineStr">
        <is>
          <t>değerlendirmekle</t>
        </is>
      </c>
      <c r="D4" s="4" t="inlineStr">
        <is>
          <t>birlikte bu verile</t>
        </is>
      </c>
      <c r="E4" s="4" t="inlineStr">
        <is>
          <t>rin doğrul</t>
        </is>
      </c>
      <c r="F4" s="4" t="inlineStr">
        <is>
          <t>uğunu kontrol etmem</t>
        </is>
      </c>
      <c r="G4" s="4" t="inlineStr">
        <is>
          <t>ektedir ve</t>
        </is>
      </c>
      <c r="H4" s="4" t="inlineStr">
        <is>
          <t>bu verilerin tam vey</t>
        </is>
      </c>
      <c r="I4" s="4" t="inlineStr">
        <is>
          <t>a doğru olduğu veya</t>
        </is>
      </c>
      <c r="J4" s="4" t="inlineStr">
        <is>
          <t>yanıltıcı olmadığına</t>
        </is>
      </c>
    </row>
    <row r="5">
      <c r="A5" s="4" t="inlineStr">
        <is>
          <t>dair herhangi bir taahh</t>
        </is>
      </c>
      <c r="B5" s="4" t="inlineStr">
        <is>
          <t>ütte bulunmam</t>
        </is>
      </c>
      <c r="C5" s="4" t="inlineStr">
        <is>
          <t>aktadır.</t>
        </is>
      </c>
    </row>
    <row r="7">
      <c r="A7" s="4" t="inlineStr">
        <is>
          <t>Burada yer alan veriler</t>
        </is>
      </c>
      <c r="B7" s="4" t="inlineStr">
        <is>
          <t>yatırımcıları Pe</t>
        </is>
      </c>
      <c r="C7" s="4" t="inlineStr">
        <is>
          <t>gasus’un faaliyet s</t>
        </is>
      </c>
      <c r="D7" s="4" t="inlineStr">
        <is>
          <t>onuçları, hedef v</t>
        </is>
      </c>
      <c r="E7" s="4" t="inlineStr">
        <is>
          <t>e beklent</t>
        </is>
      </c>
      <c r="F7" s="4" t="inlineStr">
        <is>
          <t>ileri hakkında doğru,</t>
        </is>
      </c>
      <c r="G7" s="4" t="inlineStr">
        <is>
          <t>açık ve eşit</t>
        </is>
      </c>
      <c r="H7" s="4" t="inlineStr">
        <is>
          <t>koşullarda bilgilend</t>
        </is>
      </c>
      <c r="I7" s="4" t="inlineStr">
        <is>
          <t>irme amacıyla hazırla</t>
        </is>
      </c>
      <c r="J7" s="4" t="inlineStr">
        <is>
          <t>nmış olup herhangi</t>
        </is>
      </c>
    </row>
    <row r="8">
      <c r="A8" s="4" t="inlineStr">
        <is>
          <t>bir yatırım tavsiyesi vey</t>
        </is>
      </c>
      <c r="B8" s="4" t="inlineStr">
        <is>
          <t>a Pegasus tara</t>
        </is>
      </c>
      <c r="C8" s="4" t="inlineStr">
        <is>
          <t>fından ihraç edilmi</t>
        </is>
      </c>
      <c r="D8" s="4" t="inlineStr">
        <is>
          <t>ş sermaye piyas</t>
        </is>
      </c>
      <c r="E8" s="4" t="inlineStr">
        <is>
          <t>ası araçları</t>
        </is>
      </c>
      <c r="F8" s="4" t="inlineStr">
        <is>
          <t>na ilişkin bir icap vey</t>
        </is>
      </c>
      <c r="G8" s="4" t="inlineStr">
        <is>
          <t>a icaba dav</t>
        </is>
      </c>
      <c r="H8" s="4" t="inlineStr">
        <is>
          <t>et oluşturmamaktad</t>
        </is>
      </c>
      <c r="I8" s="4" t="inlineStr">
        <is>
          <t>ır. Yatırımcıların yatı</t>
        </is>
      </c>
      <c r="J8" s="4" t="inlineStr">
        <is>
          <t>rım kararlarını farklı</t>
        </is>
      </c>
    </row>
    <row r="9">
      <c r="A9" s="4" t="inlineStr">
        <is>
          <t>kaynaklardan erişimleri</t>
        </is>
      </c>
      <c r="B9" s="4" t="inlineStr">
        <is>
          <t>ne sunulan ve</t>
        </is>
      </c>
      <c r="C9" s="4" t="inlineStr">
        <is>
          <t>yatırım kararlarını</t>
        </is>
      </c>
      <c r="D9" s="4" t="inlineStr">
        <is>
          <t>etkileyebilecek d</t>
        </is>
      </c>
      <c r="E9" s="4" t="inlineStr">
        <is>
          <t>iğer bilgi,</t>
        </is>
      </c>
      <c r="F9" s="4" t="inlineStr">
        <is>
          <t>olay ve durumların d</t>
        </is>
      </c>
      <c r="G9" s="4" t="inlineStr">
        <is>
          <t>eğerlendiril</t>
        </is>
      </c>
      <c r="H9" s="4" t="inlineStr">
        <is>
          <t>mesi doğrultusunda</t>
        </is>
      </c>
      <c r="I9" s="4" t="inlineStr">
        <is>
          <t>oluşturmaları gerek</t>
        </is>
      </c>
      <c r="J9" s="4" t="inlineStr">
        <is>
          <t>mektedir.</t>
        </is>
      </c>
    </row>
    <row r="11">
      <c r="A11" s="4" t="inlineStr">
        <is>
          <t>Pegasus tarafından haz</t>
        </is>
      </c>
      <c r="B11" s="4" t="inlineStr">
        <is>
          <t>ırlanan yatırım</t>
        </is>
      </c>
      <c r="C11" s="4" t="inlineStr">
        <is>
          <t>cı bilgilendirme be</t>
        </is>
      </c>
      <c r="D11" s="4" t="inlineStr">
        <is>
          <t>lgeleri geleceğe</t>
        </is>
      </c>
      <c r="E11" s="4" t="inlineStr">
        <is>
          <t>yönelik he</t>
        </is>
      </c>
      <c r="F11" s="4" t="inlineStr">
        <is>
          <t>def veya beklentiler</t>
        </is>
      </c>
      <c r="G11" s="4" t="inlineStr">
        <is>
          <t>içerebilir. B</t>
        </is>
      </c>
      <c r="H11" s="4" t="inlineStr">
        <is>
          <t>u hedef ve beklenti</t>
        </is>
      </c>
      <c r="I11" s="4" t="inlineStr">
        <is>
          <t>ler bu başlık ile veya</t>
        </is>
      </c>
      <c r="J11" s="4" t="inlineStr">
        <is>
          <t>“öngörülmektedir”,</t>
        </is>
      </c>
    </row>
    <row r="12">
      <c r="A12" s="4" t="inlineStr">
        <is>
          <t>“düşünülmektedir”, “ta</t>
        </is>
      </c>
      <c r="B12" s="4" t="inlineStr">
        <is>
          <t>hmin edilmekt</t>
        </is>
      </c>
      <c r="C12" s="4" t="inlineStr">
        <is>
          <t>edir”, “beklenmek</t>
        </is>
      </c>
      <c r="D12" s="4" t="inlineStr">
        <is>
          <t>tedir” ve benzer</t>
        </is>
      </c>
      <c r="E12" s="4" t="inlineStr">
        <is>
          <t>ifadeler il</t>
        </is>
      </c>
      <c r="F12" s="4" t="inlineStr">
        <is>
          <t>e veya gelecek zam</t>
        </is>
      </c>
      <c r="G12" s="4" t="inlineStr">
        <is>
          <t>an kipi kulla</t>
        </is>
      </c>
      <c r="H12" s="4" t="inlineStr">
        <is>
          <t>nılarak paylaşılabilir</t>
        </is>
      </c>
      <c r="I12" s="4" t="inlineStr">
        <is>
          <t>. Geleceğe yönelik h</t>
        </is>
      </c>
      <c r="J12" s="4" t="inlineStr">
        <is>
          <t>edef ve beklentiler</t>
        </is>
      </c>
    </row>
    <row r="13">
      <c r="A13" s="4" t="inlineStr">
        <is>
          <t>Pegasus’un operasyone</t>
        </is>
      </c>
      <c r="B13" s="4" t="inlineStr">
        <is>
          <t>l ve mali perfo</t>
        </is>
      </c>
      <c r="C13" s="4" t="inlineStr">
        <is>
          <t>rmansı, büyüme v</t>
        </is>
      </c>
      <c r="D13" s="4" t="inlineStr">
        <is>
          <t>e stratejisine ve</t>
        </is>
      </c>
      <c r="E13" s="4" t="inlineStr">
        <is>
          <t>Pegasus Y</t>
        </is>
      </c>
      <c r="F13" s="4" t="inlineStr">
        <is>
          <t>önetiminin geleceğe</t>
        </is>
      </c>
      <c r="G13" s="4" t="inlineStr">
        <is>
          <t>yönelik pla</t>
        </is>
      </c>
      <c r="H13" s="4" t="inlineStr">
        <is>
          <t>nlama ve hedeflerin</t>
        </is>
      </c>
      <c r="I13" s="4" t="inlineStr">
        <is>
          <t>e ilişkin olabilir. Gele</t>
        </is>
      </c>
      <c r="J13" s="4" t="inlineStr">
        <is>
          <t>ceğe yönelik hedef</t>
        </is>
      </c>
    </row>
    <row r="14">
      <c r="A14" s="4" t="inlineStr">
        <is>
          <t>ve beklentilere ilişkin a</t>
        </is>
      </c>
      <c r="B14" s="4" t="inlineStr">
        <is>
          <t>çıklamalar hen</t>
        </is>
      </c>
      <c r="C14" s="4" t="inlineStr">
        <is>
          <t>üz gerçekleşmemi</t>
        </is>
      </c>
      <c r="D14" s="4" t="inlineStr">
        <is>
          <t>ş konulara ilişkin</t>
        </is>
      </c>
      <c r="E14" s="4" t="inlineStr">
        <is>
          <t>dir. Gelec</t>
        </is>
      </c>
      <c r="F14" s="4" t="inlineStr">
        <is>
          <t>eğe yönelik hedef ve</t>
        </is>
      </c>
      <c r="G14" s="4" t="inlineStr">
        <is>
          <t>beklentiler</t>
        </is>
      </c>
      <c r="H14" s="4" t="inlineStr">
        <is>
          <t>makul varsayım ve</t>
        </is>
      </c>
      <c r="I14" s="4" t="inlineStr">
        <is>
          <t>tahminlere dayandırı</t>
        </is>
      </c>
      <c r="J14" s="4" t="inlineStr">
        <is>
          <t>lır. Bununla birlikte</t>
        </is>
      </c>
    </row>
    <row r="15">
      <c r="A15" s="4" t="inlineStr">
        <is>
          <t>bu hedef ve beklentiler</t>
        </is>
      </c>
      <c r="B15" s="4" t="inlineStr">
        <is>
          <t>belirsizlik ve ri</t>
        </is>
      </c>
      <c r="C15" s="4" t="inlineStr">
        <is>
          <t>skler içermekte olu</t>
        </is>
      </c>
      <c r="D15" s="4" t="inlineStr">
        <is>
          <t>p, duyurunun ya</t>
        </is>
      </c>
      <c r="E15" s="4" t="inlineStr">
        <is>
          <t>pıldığı tari</t>
        </is>
      </c>
      <c r="F15" s="4" t="inlineStr">
        <is>
          <t>h itibarıyla geçerli he</t>
        </is>
      </c>
      <c r="G15" s="4" t="inlineStr">
        <is>
          <t>def ve bekle</t>
        </is>
      </c>
      <c r="H15" s="4" t="inlineStr">
        <is>
          <t>ntileri ifade etmekt</t>
        </is>
      </c>
      <c r="I15" s="4" t="inlineStr">
        <is>
          <t>edir. Birçok etken gel</t>
        </is>
      </c>
      <c r="J15" s="4" t="inlineStr">
        <is>
          <t>eceğe yönelik hedef</t>
        </is>
      </c>
    </row>
    <row r="16">
      <c r="A16" s="4" t="inlineStr">
        <is>
          <t>ve beklentilerin öngörü</t>
        </is>
      </c>
      <c r="B16" s="4" t="inlineStr">
        <is>
          <t>lenden önemli</t>
        </is>
      </c>
      <c r="C16" s="4" t="inlineStr">
        <is>
          <t>ölçüde farklı sonu</t>
        </is>
      </c>
      <c r="D16" s="4" t="inlineStr">
        <is>
          <t>çlanmasına yol a</t>
        </is>
      </c>
      <c r="E16" s="4" t="inlineStr">
        <is>
          <t>çabilir.</t>
        </is>
      </c>
    </row>
    <row r="18">
      <c r="A18" s="4" t="inlineStr">
        <is>
          <t>Pegasus geleceğe yöne</t>
        </is>
      </c>
      <c r="B18" s="4" t="inlineStr">
        <is>
          <t>lik hedef ve be</t>
        </is>
      </c>
      <c r="C18" s="4" t="inlineStr">
        <is>
          <t>klentiler de dahil ol</t>
        </is>
      </c>
      <c r="D18" s="4" t="inlineStr">
        <is>
          <t>mak üzere bu be</t>
        </is>
      </c>
      <c r="E18" s="4" t="inlineStr">
        <is>
          <t>lgede yer</t>
        </is>
      </c>
      <c r="F18" s="4" t="inlineStr">
        <is>
          <t>alan beyanların ilgili</t>
        </is>
      </c>
      <c r="G18" s="4" t="inlineStr">
        <is>
          <t>sermaye piy</t>
        </is>
      </c>
      <c r="H18" s="4" t="inlineStr">
        <is>
          <t>asası mevzuatından</t>
        </is>
      </c>
      <c r="I18" s="4" t="inlineStr">
        <is>
          <t>doğan yükümlülükle</t>
        </is>
      </c>
      <c r="J18" s="4" t="inlineStr">
        <is>
          <t>rin gereği haricinde</t>
        </is>
      </c>
    </row>
    <row r="19">
      <c r="A19" s="4" t="inlineStr">
        <is>
          <t>güncel tutulması, günc</t>
        </is>
      </c>
      <c r="B19" s="4" t="inlineStr">
        <is>
          <t>ellenmesi, yen</t>
        </is>
      </c>
      <c r="C19" s="4" t="inlineStr">
        <is>
          <t>ilenmesi veya düz</t>
        </is>
      </c>
      <c r="D19" s="4" t="inlineStr">
        <is>
          <t>enli olarak bildir</t>
        </is>
      </c>
      <c r="E19" s="4" t="inlineStr">
        <is>
          <t>imi konus</t>
        </is>
      </c>
      <c r="F19" s="4" t="inlineStr">
        <is>
          <t>unda herhangi bir t</t>
        </is>
      </c>
      <c r="G19" s="4" t="inlineStr">
        <is>
          <t>aahhütte bu</t>
        </is>
      </c>
      <c r="H19" s="4" t="inlineStr">
        <is>
          <t>lunmamaktadır. Bu</t>
        </is>
      </c>
      <c r="I19" s="4" t="inlineStr">
        <is>
          <t>belgeyi herhangi bir</t>
        </is>
      </c>
      <c r="J19" s="4" t="inlineStr">
        <is>
          <t>şekilde kullanarak</t>
        </is>
      </c>
    </row>
    <row r="20">
      <c r="A20" s="4" t="inlineStr">
        <is>
          <t>burada yer verilen uyar</t>
        </is>
      </c>
      <c r="B20" s="4" t="inlineStr">
        <is>
          <t>ıları okuduğun</t>
        </is>
      </c>
      <c r="C20" s="4" t="inlineStr">
        <is>
          <t>uz, anladığınız ve k</t>
        </is>
      </c>
      <c r="D20" s="4" t="inlineStr">
        <is>
          <t>abul ettiğiniz var</t>
        </is>
      </c>
      <c r="E20" s="4" t="inlineStr">
        <is>
          <t>sayılmakt</t>
        </is>
      </c>
      <c r="F20" s="4" t="inlineStr">
        <is>
          <t>adır.</t>
        </is>
      </c>
    </row>
    <row r="22">
      <c r="A22" s="2" t="inlineStr">
        <is>
          <t>Genel (Public)</t>
        </is>
      </c>
    </row>
  </sheetData>
  <mergeCells count="1">
    <mergeCell ref="A22:J2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s>
  <sheetData>
    <row r="1">
      <c r="A1" s="4" t="inlineStr">
        <is>
          <t>Ocak</t>
        </is>
      </c>
      <c r="B1" s="4" t="inlineStr">
        <is>
          <t>Ocak</t>
        </is>
      </c>
      <c r="C1" s="4" t="inlineStr">
        <is>
          <t>2019-</t>
        </is>
      </c>
    </row>
    <row r="2">
      <c r="A2" s="3" t="inlineStr">
        <is>
          <t>2019</t>
        </is>
      </c>
      <c r="B2" s="3" t="inlineStr">
        <is>
          <t>2018</t>
        </is>
      </c>
      <c r="C2" s="3" t="inlineStr">
        <is>
          <t>2018</t>
        </is>
      </c>
    </row>
    <row r="3">
      <c r="A3" s="4" t="inlineStr">
        <is>
          <t>Toplam</t>
        </is>
      </c>
      <c r="B3" s="4" t="inlineStr">
        <is>
          <t>Misafir sayısı (mn)
Konma
Koltuk sayısı (mn)
Doluluk Oranı
ASK (m km)
Konma başına Misafir
Ortalama günlük uçak kullanımı (Blok Saat)</t>
        </is>
      </c>
      <c r="C3" s="4" t="inlineStr">
        <is>
          <t>2,28
14.929
2,75
82,9%
2.865
153
12,1</t>
        </is>
      </c>
      <c r="D3" s="4" t="inlineStr">
        <is>
          <t>2,36
14.875
2,76
85,4%
2.632
158
12,1</t>
        </is>
      </c>
      <c r="E3" s="4" t="inlineStr">
        <is>
          <t>-3,2%
0,4%
-0,2%
-2,6%
8,9%
-3,5%
-0,3%</t>
        </is>
      </c>
    </row>
    <row r="4">
      <c r="A4" s="4" t="inlineStr">
        <is>
          <t>İç Hatlar</t>
        </is>
      </c>
      <c r="B4" s="4" t="inlineStr">
        <is>
          <t>Misafir sayısı (mn)
Konma
Koltuk sayısı (mn)
Doluluk Oranı
ASK (m km)
Konma başına Misafir</t>
        </is>
      </c>
      <c r="C4" s="4" t="inlineStr">
        <is>
          <t>1,35
8.070
1,51
89,2%
926
167</t>
        </is>
      </c>
      <c r="D4" s="4" t="inlineStr">
        <is>
          <t>1,50
9.045
1,69
89,0%
1.038
166</t>
        </is>
      </c>
      <c r="E4" s="4" t="inlineStr">
        <is>
          <t>-10,5%
-10,8%
-10,7%
0,2%
-10,8%
0,3%</t>
        </is>
      </c>
    </row>
    <row r="5">
      <c r="A5" s="4" t="inlineStr">
        <is>
          <t>Dış Hatlar</t>
        </is>
      </c>
      <c r="B5" s="4" t="inlineStr">
        <is>
          <t>Misafir sayısı (mn)
Konma
Koltuk sayısı (mn)
Doluluk Oranı
ASK (m km)
Konma başına Misafir</t>
        </is>
      </c>
      <c r="C5" s="4" t="inlineStr">
        <is>
          <t>0,93
6.838
1,24
75,2%
1.936
136</t>
        </is>
      </c>
      <c r="D5" s="4" t="inlineStr">
        <is>
          <t>0,84
5.722
1,05
79,8%
1.575
147</t>
        </is>
      </c>
      <c r="E5" s="4" t="inlineStr">
        <is>
          <t>11,0%
19,5%
17,8%
-4,6%
22,9%
-7,1%</t>
        </is>
      </c>
    </row>
    <row r="6">
      <c r="A6" s="4" t="inlineStr">
        <is>
          <t>Charter</t>
        </is>
      </c>
      <c r="B6" s="4" t="inlineStr">
        <is>
          <t>Misafir sayısı (mn)
Konma
Koltuk sayısı (mn)
ASK (m km)</t>
        </is>
      </c>
      <c r="C6" s="4" t="inlineStr">
        <is>
          <t>0,00
21
0,00
4</t>
        </is>
      </c>
      <c r="D6" s="4" t="inlineStr">
        <is>
          <t>0,01
108
0,01
20</t>
        </is>
      </c>
      <c r="E6" s="4" t="inlineStr">
        <is>
          <t>-81,4%
-80,6%
-82,6%
-82,0%</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Şubat</t>
        </is>
      </c>
      <c r="B1" s="4" t="inlineStr">
        <is>
          <t>Şubat</t>
        </is>
      </c>
      <c r="C1" s="4" t="inlineStr">
        <is>
          <t>2019 vs</t>
        </is>
      </c>
      <c r="D1" s="4" t="inlineStr">
        <is>
          <t>Ocak-Şubat</t>
        </is>
      </c>
      <c r="E1" s="4" t="inlineStr">
        <is>
          <t>Ocak-Şubat</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Konma
Koltuk sayısı
Doluluk Oranı
ASK (m km)
Konma başına Misafir
Ortalama günlük uçak kullanımı (Blok Saat)</t>
        </is>
      </c>
      <c r="C3" s="4" t="inlineStr">
        <is>
          <t>2,09
13.265
2,46
85,0%
2.547
157
12,0</t>
        </is>
      </c>
      <c r="D3" s="4" t="inlineStr">
        <is>
          <t>2,06
13.360
2,48
83,0%
2.359
154
12,1</t>
        </is>
      </c>
      <c r="E3" s="4" t="inlineStr">
        <is>
          <t>1,6%
-0,7%
-0,8%
2,1%
8,0%
2,4%
-1,5%</t>
        </is>
      </c>
      <c r="F3" s="4" t="inlineStr">
        <is>
          <t>4,37
28.194
5,21
83,9%
5.412
155
12,0</t>
        </is>
      </c>
      <c r="G3" s="4" t="inlineStr">
        <is>
          <t>4,41
28.235
5,23
84,3%
4.991
156
12,1</t>
        </is>
      </c>
      <c r="H3" s="4" t="inlineStr">
        <is>
          <t>-0,9%
-0,1%
-0,5%
-0,4%
8,4%
-0,8%
-0,9%</t>
        </is>
      </c>
    </row>
    <row r="4">
      <c r="A4" s="4" t="inlineStr">
        <is>
          <t>İç Hatlar</t>
        </is>
      </c>
      <c r="B4" s="4" t="inlineStr">
        <is>
          <t>Misafir sayısı
Konma
Koltuk sayısı
Doluluk Oranı
ASK (m km)
Konma başına Misafir</t>
        </is>
      </c>
      <c r="C4" s="4" t="inlineStr">
        <is>
          <t>1,21
7.337
1,37
88,2%
837
165</t>
        </is>
      </c>
      <c r="D4" s="4" t="inlineStr">
        <is>
          <t>1,29
8.147
1,52
84,8%
935
158</t>
        </is>
      </c>
      <c r="E4" s="4" t="inlineStr">
        <is>
          <t>-6,4%
-9,9%
-10,0%
3,4%
-10,5%
3,9%</t>
        </is>
      </c>
      <c r="F4" s="4" t="inlineStr">
        <is>
          <t>2,55
15.407
2,88
88,7%
1.762
166</t>
        </is>
      </c>
      <c r="G4" s="4" t="inlineStr">
        <is>
          <t>2,80
17.192
3,21
87,0%
1.973
163</t>
        </is>
      </c>
      <c r="H4" s="4" t="inlineStr">
        <is>
          <t>-8,6%
-10,4%
-10,4%
1,7%
-10,7%
2,0%</t>
        </is>
      </c>
    </row>
    <row r="5">
      <c r="A5" s="4" t="inlineStr">
        <is>
          <t>Dış Hatlar</t>
        </is>
      </c>
      <c r="B5" s="4" t="inlineStr">
        <is>
          <t>Misafir sayısı
Konma
Koltuk sayısı
Doluluk Oranı
ASK (m km)
Konma başına Misafir</t>
        </is>
      </c>
      <c r="C5" s="4" t="inlineStr">
        <is>
          <t>0,88
5.905
1,09
81,0%
1.706
149</t>
        </is>
      </c>
      <c r="D5" s="4" t="inlineStr">
        <is>
          <t>0,75
5.095
0,94
79,9%
1.400
147</t>
        </is>
      </c>
      <c r="E5" s="4" t="inlineStr">
        <is>
          <t>17,1%
15,9%
15,5%
1,1%
21,8%
1,0%</t>
        </is>
      </c>
      <c r="F5" s="4" t="inlineStr">
        <is>
          <t>1,81
12.743
2,32
77,9%
3.642
142</t>
        </is>
      </c>
      <c r="G5" s="4" t="inlineStr">
        <is>
          <t>1,59
10.817
1,99
79,8%
2.975
147</t>
        </is>
      </c>
      <c r="H5" s="4" t="inlineStr">
        <is>
          <t>13,9%
17,8%
16,7%
-1,9%
22,4%
-3,3%</t>
        </is>
      </c>
    </row>
    <row r="6">
      <c r="A6" s="4" t="inlineStr">
        <is>
          <t>Charter</t>
        </is>
      </c>
      <c r="B6" s="4" t="inlineStr">
        <is>
          <t>Misafir sayısı
Konma
Koltuk sayısı
ASK (m km)</t>
        </is>
      </c>
      <c r="C6" s="4" t="inlineStr">
        <is>
          <t>0,00
23
0,00
4</t>
        </is>
      </c>
      <c r="D6" s="4" t="inlineStr">
        <is>
          <t>0,01
118
0,02
24</t>
        </is>
      </c>
      <c r="E6" s="4" t="inlineStr">
        <is>
          <t>-84,6%
-80,5%
-85,3%
-81,3%</t>
        </is>
      </c>
      <c r="F6" s="4" t="inlineStr">
        <is>
          <t>0,00
44
0,00
8</t>
        </is>
      </c>
      <c r="G6" s="4" t="inlineStr">
        <is>
          <t>0,03
226
0,03
44</t>
        </is>
      </c>
      <c r="H6" s="4" t="inlineStr">
        <is>
          <t>-83,1%
-80,5%
-84,1%
-81,6%</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Mart</t>
        </is>
      </c>
      <c r="B1" s="4" t="inlineStr">
        <is>
          <t>Mart</t>
        </is>
      </c>
      <c r="C1" s="4" t="inlineStr">
        <is>
          <t>2019 vs</t>
        </is>
      </c>
      <c r="D1" s="4" t="inlineStr">
        <is>
          <t>Ocak-Mart</t>
        </is>
      </c>
      <c r="E1" s="4" t="inlineStr">
        <is>
          <t>Ocak-Mart</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mn
Konma
Koltuk sayısı, mn
Doluluk Oranı
ASK (m km)
Konma başına Misafir
Ortalama günlük uçak kullanımı (Blok Saat)</t>
        </is>
      </c>
      <c r="C3" s="4" t="inlineStr">
        <is>
          <t>2,33
14.764
2,74
85,1%
2.877
158
12,0</t>
        </is>
      </c>
      <c r="D3" s="4" t="inlineStr">
        <is>
          <t>2,38
15.125
2,80
85,0%
2.683
157
12,3</t>
        </is>
      </c>
      <c r="E3" s="4" t="inlineStr">
        <is>
          <t>-2,2%
-2,4%
-2,3%
0,1%
7,2%
0,2%
-2,4%</t>
        </is>
      </c>
      <c r="F3" s="4" t="inlineStr">
        <is>
          <t>6,70
42.958
7,94
84,3%
8.289
156
12,0</t>
        </is>
      </c>
      <c r="G3" s="4" t="inlineStr">
        <is>
          <t>6,79
43.360
8,03
84,5%
7.675
157
12,2</t>
        </is>
      </c>
      <c r="H3" s="4" t="inlineStr">
        <is>
          <t>-1,4%
-0,9%
-1,1%
-0,2%
8,0%
-0,5%
-1,4%</t>
        </is>
      </c>
    </row>
    <row r="4">
      <c r="A4" s="4" t="inlineStr">
        <is>
          <t>İç Hatlar</t>
        </is>
      </c>
      <c r="B4" s="4" t="inlineStr">
        <is>
          <t>Misafir sayısı, mn
Konma
Koltuk sayısı, mn
Doluluk Oranı
ASK (m km)
Konma başına Misafir</t>
        </is>
      </c>
      <c r="C4" s="4" t="inlineStr">
        <is>
          <t>1,31
8.041
1,50
87,6%
919
163</t>
        </is>
      </c>
      <c r="D4" s="4" t="inlineStr">
        <is>
          <t>1,49
9.157
1,71
87,0%
1.051
163</t>
        </is>
      </c>
      <c r="E4" s="4" t="inlineStr">
        <is>
          <t>-11,7%
-12,2%
-12,3%
0,6%
-12,5%
0,6%</t>
        </is>
      </c>
      <c r="F4" s="4" t="inlineStr">
        <is>
          <t>3,87
23.448
4,38
88,4%
2.682
165</t>
        </is>
      </c>
      <c r="G4" s="4" t="inlineStr">
        <is>
          <t>4,28
26.349
4,92
87,0%
3.024
163</t>
        </is>
      </c>
      <c r="H4" s="4" t="inlineStr">
        <is>
          <t>-9,7%
-11,0%
-11,0%
1,3%
-11,3%
1,5%</t>
        </is>
      </c>
    </row>
    <row r="5">
      <c r="A5" s="4" t="inlineStr">
        <is>
          <t>Dış Hatlar</t>
        </is>
      </c>
      <c r="B5" s="4" t="inlineStr">
        <is>
          <t>Misafir sayısı, mn
Pegasus
Air Manas
Konma
Koltuk sayısı, mn
Doluluk Oranı
ASK (m km)
Konma başına Misafir</t>
        </is>
      </c>
      <c r="C5" s="4" t="inlineStr">
        <is>
          <t>1,01
0,98
0,03
6.653
1,23
82,0%
1.948
151</t>
        </is>
      </c>
      <c r="D5" s="4" t="inlineStr">
        <is>
          <t>0,87
0,82
0,05
5.774
1,06
81,5%
1.603
150</t>
        </is>
      </c>
      <c r="E5" s="4" t="inlineStr">
        <is>
          <t>16,1%
19,8%
-46,1%
15,2%
15,4%
0,5%
21,6%
0,8%</t>
        </is>
      </c>
      <c r="F5" s="4" t="inlineStr">
        <is>
          <t>2,82
2,74
0,08
19.396
3,55
79,3%
5.590
145</t>
        </is>
      </c>
      <c r="G5" s="4" t="inlineStr">
        <is>
          <t>2,46
2,33
0,13
16.591
3,05
80,4%
4.577
148</t>
        </is>
      </c>
      <c r="H5" s="4" t="inlineStr">
        <is>
          <t>14,6%
17,7%
-40,1%
16,9%
16,3%
-1,1%
22,1%
-1,9%</t>
        </is>
      </c>
    </row>
    <row r="6">
      <c r="A6" s="4" t="inlineStr">
        <is>
          <t>Charter</t>
        </is>
      </c>
      <c r="B6" s="4" t="inlineStr">
        <is>
          <t>Misafir sayısı, mn
Konma
Koltuk sayısı, mn
ASK (m km)</t>
        </is>
      </c>
      <c r="C6" s="4" t="inlineStr">
        <is>
          <t>0,01
70
0,01
9</t>
        </is>
      </c>
      <c r="D6" s="4" t="inlineStr">
        <is>
          <t>0,03
194
0,03
30</t>
        </is>
      </c>
      <c r="E6" s="4" t="inlineStr">
        <is>
          <t>-66,2%
-63,9%
-64,7%
-68,4%</t>
        </is>
      </c>
      <c r="F6" s="4" t="inlineStr">
        <is>
          <t>0,01
114
0,01
17</t>
        </is>
      </c>
      <c r="G6" s="4" t="inlineStr">
        <is>
          <t>0,05
420
0,06
73</t>
        </is>
      </c>
      <c r="H6" s="4" t="inlineStr">
        <is>
          <t>-74,4%
-72,9%
-74,5%
-76,3%</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Nisan</t>
        </is>
      </c>
      <c r="B1" s="4" t="inlineStr">
        <is>
          <t>Nisan</t>
        </is>
      </c>
      <c r="C1" s="4" t="inlineStr">
        <is>
          <t>2019 vs</t>
        </is>
      </c>
      <c r="D1" s="4" t="inlineStr">
        <is>
          <t>Ocak-Nisan</t>
        </is>
      </c>
      <c r="E1" s="4" t="inlineStr">
        <is>
          <t>Ocak-Nisan</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mn
Konma
Koltuk sayısı, mn
Doluluk Oranı
ASK (m km)
Konma başına Misafir
Ortalama günlük uçak kullanımı (Blok Saat)</t>
        </is>
      </c>
      <c r="C3" s="4" t="inlineStr">
        <is>
          <t>2,37
14.631
2,70
87,6%
3.026
162
12,8</t>
        </is>
      </c>
      <c r="D3" s="4" t="inlineStr">
        <is>
          <t>2,50
15.174
2,81
88,9%
2.703
165
12,3</t>
        </is>
      </c>
      <c r="E3" s="4" t="inlineStr">
        <is>
          <t>-5,2%
-3,6%
-3,8%
-1,3%
11,9%
-1,7%
3,9%</t>
        </is>
      </c>
      <c r="F3" s="4" t="inlineStr">
        <is>
          <t>9,07
57.589
10,65
85,2%
11.315
157
12,2</t>
        </is>
      </c>
      <c r="G3" s="4" t="inlineStr">
        <is>
          <t>9,29
58.534
10,84
85,7%
10.378
159
12,2</t>
        </is>
      </c>
      <c r="H3" s="4" t="inlineStr">
        <is>
          <t>-2,4%
-1,6%
-1,8%
-0,5%
9,0%
-0,8%
0,2%</t>
        </is>
      </c>
    </row>
    <row r="4">
      <c r="A4" s="4" t="inlineStr">
        <is>
          <t>İç Hatlar</t>
        </is>
      </c>
      <c r="B4" s="4" t="inlineStr">
        <is>
          <t>Misafir sayısı, mn
Konma
Koltuk sayısı, mn
Doluluk Oranı
ASK (m km)
Konma başına Misafir</t>
        </is>
      </c>
      <c r="C4" s="4" t="inlineStr">
        <is>
          <t>1,20
6.890
1,29
92,9%
762
174</t>
        </is>
      </c>
      <c r="D4" s="4" t="inlineStr">
        <is>
          <t>1,54
8.976
1,68
91,9%
1.013
172</t>
        </is>
      </c>
      <c r="E4" s="4" t="inlineStr">
        <is>
          <t>-22,4%
-23,2%
-23,3%
1,0%
-24,9%
1,1%</t>
        </is>
      </c>
      <c r="F4" s="4" t="inlineStr">
        <is>
          <t>5,06
30.338
5,67
89,4%
3.443
167</t>
        </is>
      </c>
      <c r="G4" s="4" t="inlineStr">
        <is>
          <t>5,82
35.325
6,60
88,3%
4.037
165</t>
        </is>
      </c>
      <c r="H4" s="4" t="inlineStr">
        <is>
          <t>-13,0%
-14,1%
-14,1%
1,1%
-14,7%
1,2%</t>
        </is>
      </c>
    </row>
    <row r="5">
      <c r="A5" s="4" t="inlineStr">
        <is>
          <t>Dış Hatlar</t>
        </is>
      </c>
      <c r="B5" s="4" t="inlineStr">
        <is>
          <t>Misafir sayısı, mn
Pegasus
Air Manas
Konma
Koltuk sayısı, mn
Doluluk Oranı
ASK (m km)
Konma başına Misafir</t>
        </is>
      </c>
      <c r="C5" s="4" t="inlineStr">
        <is>
          <t>1,15
1,12
0,03
7.546
1,39
82,7%
2.223
152</t>
        </is>
      </c>
      <c r="D5" s="4" t="inlineStr">
        <is>
          <t>0,93
0,89
0,04
5.976
1,10
84,6%
1.645
156</t>
        </is>
      </c>
      <c r="E5" s="4" t="inlineStr">
        <is>
          <t>23,4%
25,7%
-28,7%
26,3%
26,2%
-1,9%
35,2%
-2,2%</t>
        </is>
      </c>
      <c r="F5" s="4" t="inlineStr">
        <is>
          <t>3,96
3,86
0,11
26.942
4,94
80,3%
7.814
147</t>
        </is>
      </c>
      <c r="G5" s="4" t="inlineStr">
        <is>
          <t>3,39
3,22
0,17
22.567
4,15
81,5%
6.222
150</t>
        </is>
      </c>
      <c r="H5" s="4" t="inlineStr">
        <is>
          <t>17,1%
19,9%
-37,5%
19,4%
18,9%
-1,3%
25,6%
-1,9%</t>
        </is>
      </c>
    </row>
    <row r="6">
      <c r="A6" s="4" t="inlineStr">
        <is>
          <t>Charter</t>
        </is>
      </c>
      <c r="B6" s="4" t="inlineStr">
        <is>
          <t>Misafir sayısı, mn
Konma
Koltuk sayısı, mn
ASK (m km)</t>
        </is>
      </c>
      <c r="C6" s="4" t="inlineStr">
        <is>
          <t>0,03
195
0,03
41</t>
        </is>
      </c>
      <c r="D6" s="4" t="inlineStr">
        <is>
          <t>0,03
222
0,03
45</t>
        </is>
      </c>
      <c r="E6" s="4" t="inlineStr">
        <is>
          <t>-8,1%
-12,2%
-12,8%
-9,7%</t>
        </is>
      </c>
      <c r="F6" s="4" t="inlineStr">
        <is>
          <t>0,04
309
0,04
58</t>
        </is>
      </c>
      <c r="G6" s="4" t="inlineStr">
        <is>
          <t>0,08
642
0,09
119</t>
        </is>
      </c>
      <c r="H6" s="4" t="inlineStr">
        <is>
          <t>-51,5%
-51,9%
-52,0%
-50,9%</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Mayıs</t>
        </is>
      </c>
      <c r="B1" s="4" t="inlineStr">
        <is>
          <t>Mayıs</t>
        </is>
      </c>
      <c r="C1" s="4" t="inlineStr">
        <is>
          <t>2019 vs</t>
        </is>
      </c>
      <c r="D1" s="4" t="inlineStr">
        <is>
          <t>Ocak-Mayıs</t>
        </is>
      </c>
      <c r="E1" s="4" t="inlineStr">
        <is>
          <t>Ocak-Mayıs</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mn
Konma
Koltuk sayısı, mn
Doluluk Oranı
ASK (m km)
Konma başına Misafir
Ortalama günlük uçak kullanımı (Blok Saat)</t>
        </is>
      </c>
      <c r="C3" s="4" t="inlineStr">
        <is>
          <t>2,24
14.998
2,78
80,7%
3.035
150
12,5</t>
        </is>
      </c>
      <c r="D3" s="4" t="inlineStr">
        <is>
          <t>2,54
16.175
3,00
84,8%
2.944
157
12,2</t>
        </is>
      </c>
      <c r="E3" s="4" t="inlineStr">
        <is>
          <t>-11,7%
-7,3%
-7,4%
-4,0%
3,1%
-4,8%
2,3%</t>
        </is>
      </c>
      <c r="F3" s="4" t="inlineStr">
        <is>
          <t>11,31
72.587
13,42
84,2%
14.350
156
12,3</t>
        </is>
      </c>
      <c r="G3" s="4" t="inlineStr">
        <is>
          <t>11,83
74.709
13,84
85,5%
13.322
158
12,2</t>
        </is>
      </c>
      <c r="H3" s="4" t="inlineStr">
        <is>
          <t>-4,4%
-2,8%
-3,0%
-1,2%
7,7%
-1,6%
0,7%</t>
        </is>
      </c>
    </row>
    <row r="4">
      <c r="A4" s="4" t="inlineStr">
        <is>
          <t>İç Hatlar</t>
        </is>
      </c>
      <c r="B4" s="4" t="inlineStr">
        <is>
          <t>Misafir sayısı, mn
Konma
Koltuk sayısı, mn
Doluluk Oranı
ASK (m km)
Konma başına Misafir</t>
        </is>
      </c>
      <c r="C4" s="4" t="inlineStr">
        <is>
          <t>1,20
7.488
1,40
85,7%
815
160</t>
        </is>
      </c>
      <c r="D4" s="4" t="inlineStr">
        <is>
          <t>1,57
9.526
1,78
88,3%
1.064
165</t>
        </is>
      </c>
      <c r="E4" s="4" t="inlineStr">
        <is>
          <t>-23,7%
-21,4%
-21,4%
-2,6%
-23,5%
-3,0%</t>
        </is>
      </c>
      <c r="F4" s="4" t="inlineStr">
        <is>
          <t>6,26
37.826
7,06
88,7%
4.258
166</t>
        </is>
      </c>
      <c r="G4" s="4" t="inlineStr">
        <is>
          <t>7,39
44.851
8,38
88,3%
5.101
165</t>
        </is>
      </c>
      <c r="H4" s="4" t="inlineStr">
        <is>
          <t>-15,3%
-15,7%
-15,7%
0,4%
-16,5%
0,4%</t>
        </is>
      </c>
    </row>
    <row r="5">
      <c r="A5" s="4" t="inlineStr">
        <is>
          <t>Dış Hatlar</t>
        </is>
      </c>
      <c r="B5" s="4" t="inlineStr">
        <is>
          <t>Misafir sayısı, mn
Pegasus
Air Manas
Konma
Koltuk sayısı, mn
Doluluk Oranı
ASK (m km)
Konma başına Misafir</t>
        </is>
      </c>
      <c r="C5" s="4" t="inlineStr">
        <is>
          <t>1,02
1,00
0,03
7.354
1,35
75,6%
2.175
139</t>
        </is>
      </c>
      <c r="D5" s="4" t="inlineStr">
        <is>
          <t>0,92
0,88
0,04
6.323
1,16
79,1%
1.773
146</t>
        </is>
      </c>
      <c r="E5" s="4" t="inlineStr">
        <is>
          <t>11,3%
13,7%
-38,0%
16,3%
16,5%
-3,5%
22,7%
-4,3%</t>
        </is>
      </c>
      <c r="F5" s="4" t="inlineStr">
        <is>
          <t>4,99
4,86
0,13
34.296
6,29
79,3%
9.989
145</t>
        </is>
      </c>
      <c r="G5" s="4" t="inlineStr">
        <is>
          <t>4,31
4,10
0,21
28.890
5,32
81,0%
7.995
149</t>
        </is>
      </c>
      <c r="H5" s="4" t="inlineStr">
        <is>
          <t>15,8%
18,6%
-37,6%
18,7%
18,4%
-1,7%
24,9%
-2,4%</t>
        </is>
      </c>
    </row>
    <row r="6">
      <c r="A6" s="4" t="inlineStr">
        <is>
          <t>Charter</t>
        </is>
      </c>
      <c r="B6" s="4" t="inlineStr">
        <is>
          <t>Misafir sayısı, mn
Konma
Koltuk sayısı, mn
ASK (m km)</t>
        </is>
      </c>
      <c r="C6" s="4" t="inlineStr">
        <is>
          <t>0,02
156
0,02
45</t>
        </is>
      </c>
      <c r="D6" s="4" t="inlineStr">
        <is>
          <t>0,05
326
0,06
107</t>
        </is>
      </c>
      <c r="E6" s="4" t="inlineStr">
        <is>
          <t>-59,3%
-52,1%
-57,5%
-57,4%</t>
        </is>
      </c>
      <c r="F6" s="4" t="inlineStr">
        <is>
          <t>0,06
465
0,07
104</t>
        </is>
      </c>
      <c r="G6" s="4" t="inlineStr">
        <is>
          <t>0,13
968
0,15
225</t>
        </is>
      </c>
      <c r="H6" s="4" t="inlineStr">
        <is>
          <t>-54,5%
-52,0%
-54,1%
-54,0%</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4" customWidth="1" min="4" max="4"/>
    <col width="14" customWidth="1" min="5" max="5"/>
    <col width="12" customWidth="1" min="6" max="6"/>
    <col width="12" customWidth="1" min="7" max="7"/>
    <col width="12" customWidth="1" min="8" max="8"/>
  </cols>
  <sheetData>
    <row r="1">
      <c r="A1" s="4" t="inlineStr">
        <is>
          <t>Haziran</t>
        </is>
      </c>
      <c r="B1" s="4" t="inlineStr">
        <is>
          <t>Haziran</t>
        </is>
      </c>
      <c r="C1" s="4" t="inlineStr">
        <is>
          <t>2019 vs</t>
        </is>
      </c>
      <c r="D1" s="4" t="inlineStr">
        <is>
          <t>Ocak-Haziran</t>
        </is>
      </c>
      <c r="E1" s="4" t="inlineStr">
        <is>
          <t>Ocak-Haziran</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mn
Konma
Koltuk sayısı, mn
Doluluk Oranı
ASK (m km)
Konma başına Misafir
Ortalama günlük uçak kullanımı (Blok Saat)</t>
        </is>
      </c>
      <c r="C3" s="4" t="inlineStr">
        <is>
          <t>2,58
16.256
3,01
85,8%
3.409
159
13,7</t>
        </is>
      </c>
      <c r="D3" s="4" t="inlineStr">
        <is>
          <t>2,56
16.301
3,01
84,9%
3.046
157
13,0</t>
        </is>
      </c>
      <c r="E3" s="4" t="inlineStr">
        <is>
          <t>1,0%
-0,3%
-0,1%
0,9%
11,9%
1,2%
5,7%</t>
        </is>
      </c>
      <c r="F3" s="4" t="inlineStr">
        <is>
          <t>13,89
88.843
16,43
84,5%
17.759
156
12,5</t>
        </is>
      </c>
      <c r="G3" s="4" t="inlineStr">
        <is>
          <t>14,39
91.010
16,86
85,4%
16.368
158
12,4</t>
        </is>
      </c>
      <c r="H3" s="4" t="inlineStr">
        <is>
          <t>-3,5%
-2,4%
-2,5%
-0,8%
8,5%
-1,1%
1,3%</t>
        </is>
      </c>
    </row>
    <row r="4">
      <c r="A4" s="4" t="inlineStr">
        <is>
          <t>İç Hatlar</t>
        </is>
      </c>
      <c r="B4" s="4" t="inlineStr">
        <is>
          <t>Misafir sayısı, mn
Konma
Koltuk sayısı, mn
Doluluk Oranı
ASK (m km)
Konma başına Misafir</t>
        </is>
      </c>
      <c r="C4" s="4" t="inlineStr">
        <is>
          <t>1,30
7.664
1,43
90,3%
832
169</t>
        </is>
      </c>
      <c r="D4" s="4" t="inlineStr">
        <is>
          <t>1,54
9.253
1,73
89,1%
1.035
166</t>
        </is>
      </c>
      <c r="E4" s="4" t="inlineStr">
        <is>
          <t>-15,9%
-17,2%
-17,0%
1,2%
-19,6%
1,6%</t>
        </is>
      </c>
      <c r="F4" s="4" t="inlineStr">
        <is>
          <t>7,56
45.490
8,50
88,9%
5.090
166</t>
        </is>
      </c>
      <c r="G4" s="4" t="inlineStr">
        <is>
          <t>8,93
54.104
10,11
88,4%
6.136
165</t>
        </is>
      </c>
      <c r="H4" s="4" t="inlineStr">
        <is>
          <t>-15,4%
-15,9%
-15,9%
0,5%
-17,1%
0,6%</t>
        </is>
      </c>
    </row>
    <row r="5">
      <c r="A5" s="4" t="inlineStr">
        <is>
          <t>Dış Hatlar</t>
        </is>
      </c>
      <c r="B5" s="4" t="inlineStr">
        <is>
          <t>Misafir sayısı, mn
Pegasus
Air Manas
Konma
Koltuk sayısı, mn
Doluluk Oranı
ASK (m km)
Konma başına Misafir</t>
        </is>
      </c>
      <c r="C5" s="4" t="inlineStr">
        <is>
          <t>1,22
1,19
0,02
8.117
1,49
81,6%
2.436
150</t>
        </is>
      </c>
      <c r="D5" s="4" t="inlineStr">
        <is>
          <t>0,94
0,90
0,04
6.555
1,20
78,5%
1.851
143</t>
        </is>
      </c>
      <c r="E5" s="4" t="inlineStr">
        <is>
          <t>29,5%
32,6%
-39,1%
23,8%
24,5%
3,1%
31,6%
4,6%</t>
        </is>
      </c>
      <c r="F5" s="4" t="inlineStr">
        <is>
          <t>6,20
6,05
0,16
42.413
7,78
79,7%
12.425
146</t>
        </is>
      </c>
      <c r="G5" s="4" t="inlineStr">
        <is>
          <t>5,25
5,00
0,25
35.445
6,51
80,5%
9.846
148</t>
        </is>
      </c>
      <c r="H5" s="4" t="inlineStr">
        <is>
          <t>18,3%
21,1%
-37,9%
19,7%
19,5%
-0,8%
26,2%
-1,1%</t>
        </is>
      </c>
    </row>
    <row r="6">
      <c r="A6" s="4" t="inlineStr">
        <is>
          <t>Charter</t>
        </is>
      </c>
      <c r="B6" s="4" t="inlineStr">
        <is>
          <t>Misafir sayısı, mn
Konma
Koltuk sayısı, mn
ASK (m km)</t>
        </is>
      </c>
      <c r="C6" s="4" t="inlineStr">
        <is>
          <t>0,07
475
0,08
141</t>
        </is>
      </c>
      <c r="D6" s="4" t="inlineStr">
        <is>
          <t>0,08
493
0,09
160</t>
        </is>
      </c>
      <c r="E6" s="4" t="inlineStr">
        <is>
          <t>-11,3%
-3,7%
-4,9%
-12,0%</t>
        </is>
      </c>
      <c r="F6" s="4" t="inlineStr">
        <is>
          <t>0,13
940
0,15
245</t>
        </is>
      </c>
      <c r="G6" s="4" t="inlineStr">
        <is>
          <t>0,21
1.461
0,24
385</t>
        </is>
      </c>
      <c r="H6" s="4" t="inlineStr">
        <is>
          <t>-38,3%
-35,7%
-35,7%
-36,6%</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34"/>
  <sheetViews>
    <sheetView workbookViewId="0">
      <selection activeCell="A1" sqref="A1"/>
    </sheetView>
  </sheetViews>
  <sheetFormatPr baseColWidth="8" defaultRowHeight="15"/>
  <cols>
    <col width="15" customWidth="1" min="1" max="1"/>
    <col width="13" customWidth="1" min="2" max="2"/>
    <col width="12" customWidth="1" min="3" max="3"/>
    <col width="15" customWidth="1" min="4" max="4"/>
    <col width="32" customWidth="1" min="5" max="5"/>
    <col width="12" customWidth="1" min="6" max="6"/>
    <col width="12" customWidth="1" min="7" max="7"/>
    <col width="12" customWidth="1" min="8" max="8"/>
    <col width="21" customWidth="1" min="9" max="9"/>
    <col width="12" customWidth="1" min="10" max="10"/>
    <col width="12" customWidth="1" min="11" max="11"/>
    <col width="17"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 E</t>
        </is>
      </c>
      <c r="B1" s="4" t="inlineStr">
        <is>
          <t>G A</t>
        </is>
      </c>
      <c r="C1" s="4" t="inlineStr">
        <is>
          <t>S U S H A</t>
        </is>
      </c>
      <c r="D1" s="4" t="inlineStr">
        <is>
          <t>V A T A Ş</t>
        </is>
      </c>
      <c r="E1" s="4" t="inlineStr">
        <is>
          <t>I M A C I</t>
        </is>
      </c>
      <c r="F1" s="4" t="inlineStr">
        <is>
          <t>L I Ğ</t>
        </is>
      </c>
      <c r="G1" s="4" t="inlineStr">
        <is>
          <t>I A</t>
        </is>
      </c>
      <c r="H1" s="4" t="inlineStr">
        <is>
          <t>. Ş .</t>
        </is>
      </c>
    </row>
    <row r="2">
      <c r="A2" s="3" t="inlineStr">
        <is>
          <t>T E</t>
        </is>
      </c>
      <c r="B2" s="3" t="inlineStr">
        <is>
          <t>M M</t>
        </is>
      </c>
      <c r="C2" s="3" t="inlineStr">
        <is>
          <t>U Z 2 0 1</t>
        </is>
      </c>
      <c r="D2" s="3" t="inlineStr">
        <is>
          <t>9 T R A F İ</t>
        </is>
      </c>
      <c r="E2" s="3" t="inlineStr">
        <is>
          <t>K S O N</t>
        </is>
      </c>
      <c r="F2" s="3" t="inlineStr">
        <is>
          <t>U</t>
        </is>
      </c>
      <c r="G2" s="3" t="inlineStr">
        <is>
          <t>Ç L A</t>
        </is>
      </c>
      <c r="H2" s="3" t="inlineStr">
        <is>
          <t>R I</t>
        </is>
      </c>
    </row>
    <row r="3">
      <c r="A3" s="4" t="inlineStr">
        <is>
          <t>2 0</t>
        </is>
      </c>
      <c r="B3" s="5" t="n">
        <v>8</v>
      </c>
      <c r="C3" s="5" t="n">
        <v>2019</v>
      </c>
    </row>
    <row r="5">
      <c r="A5" s="4" t="inlineStr">
        <is>
          <t>T e</t>
        </is>
      </c>
      <c r="B5" s="4" t="inlineStr">
        <is>
          <t>m m u</t>
        </is>
      </c>
      <c r="C5" s="4" t="inlineStr">
        <is>
          <t>z T e m</t>
        </is>
      </c>
      <c r="D5" s="4" t="inlineStr">
        <is>
          <t>m</t>
        </is>
      </c>
      <c r="E5" s="4" t="inlineStr">
        <is>
          <t>u z</t>
        </is>
      </c>
      <c r="F5" s="5" t="n">
        <v>2</v>
      </c>
      <c r="G5" s="5" t="n">
        <v>1</v>
      </c>
      <c r="H5" s="5" t="n">
        <v>9</v>
      </c>
      <c r="I5" s="4" t="inlineStr">
        <is>
          <t>v s O c a k - T e m</t>
        </is>
      </c>
      <c r="J5" s="4" t="inlineStr">
        <is>
          <t>m</t>
        </is>
      </c>
      <c r="K5" s="4" t="inlineStr">
        <is>
          <t>u z</t>
        </is>
      </c>
      <c r="L5" s="4" t="inlineStr">
        <is>
          <t>O c a k - T e m</t>
        </is>
      </c>
      <c r="M5" s="4" t="inlineStr">
        <is>
          <t>m</t>
        </is>
      </c>
      <c r="N5" s="4" t="inlineStr">
        <is>
          <t>u z</t>
        </is>
      </c>
      <c r="O5" s="5" t="n">
        <v>2</v>
      </c>
      <c r="P5" s="5" t="n">
        <v>1</v>
      </c>
      <c r="Q5" s="5" t="n">
        <v>9</v>
      </c>
      <c r="R5" s="4" t="inlineStr">
        <is>
          <t>v s</t>
        </is>
      </c>
    </row>
    <row r="6">
      <c r="A6" s="4" t="inlineStr">
        <is>
          <t>2 0</t>
        </is>
      </c>
      <c r="B6" s="5" t="n">
        <v>19</v>
      </c>
      <c r="C6" s="5" t="n">
        <v>2</v>
      </c>
      <c r="D6" s="5" t="n">
        <v>1</v>
      </c>
      <c r="E6" s="5" t="n">
        <v>8</v>
      </c>
      <c r="F6" s="5" t="n">
        <v>2</v>
      </c>
      <c r="G6" s="5" t="n">
        <v>0</v>
      </c>
      <c r="H6" s="5" t="n">
        <v>18</v>
      </c>
      <c r="I6" s="5" t="n">
        <v>2</v>
      </c>
      <c r="J6" s="5" t="n">
        <v>1</v>
      </c>
      <c r="K6" s="5" t="n">
        <v>9</v>
      </c>
      <c r="L6" s="5" t="n">
        <v>2</v>
      </c>
      <c r="M6" s="5" t="n">
        <v>1</v>
      </c>
      <c r="N6" s="5" t="n">
        <v>8</v>
      </c>
      <c r="O6" s="5" t="n">
        <v>2</v>
      </c>
      <c r="P6" s="5" t="n">
        <v>0</v>
      </c>
      <c r="Q6" s="5" t="n">
        <v>18</v>
      </c>
    </row>
    <row r="7">
      <c r="A7" s="4" t="inlineStr">
        <is>
          <t>M i s a f i r</t>
        </is>
      </c>
      <c r="B7" s="4" t="inlineStr">
        <is>
          <t>s a y ı s ı</t>
        </is>
      </c>
      <c r="C7" s="4" t="inlineStr">
        <is>
          <t>, m</t>
        </is>
      </c>
      <c r="D7" s="4" t="inlineStr">
        <is>
          <t>n</t>
        </is>
      </c>
      <c r="E7" s="5" t="n">
        <v>2</v>
      </c>
      <c r="F7" s="5" t="n">
        <v>86</v>
      </c>
      <c r="G7" s="6" t="n">
        <v>2.9</v>
      </c>
      <c r="H7" s="5" t="n">
        <v>3</v>
      </c>
      <c r="I7" s="5" t="n">
        <v>-2</v>
      </c>
      <c r="J7" s="6" t="n">
        <v>0.4</v>
      </c>
      <c r="K7" s="4" t="inlineStr">
        <is>
          <t>%</t>
        </is>
      </c>
      <c r="L7" s="5" t="n">
        <v>1</v>
      </c>
      <c r="M7" s="6" t="n">
        <v>6.7</v>
      </c>
      <c r="N7" s="5" t="n">
        <v>5</v>
      </c>
      <c r="O7" s="5" t="n">
        <v>1</v>
      </c>
      <c r="P7" s="6" t="n">
        <v>7.3</v>
      </c>
      <c r="Q7" s="5" t="n">
        <v>2</v>
      </c>
      <c r="R7" s="5" t="n">
        <v>-3</v>
      </c>
      <c r="S7" s="6" t="n">
        <v>0.3</v>
      </c>
      <c r="T7" s="4" t="inlineStr">
        <is>
          <t>%</t>
        </is>
      </c>
    </row>
    <row r="8">
      <c r="A8" s="4" t="inlineStr">
        <is>
          <t>K o n m a</t>
        </is>
      </c>
      <c r="B8" s="6" t="n">
        <v>17.3</v>
      </c>
      <c r="C8" s="5" t="n">
        <v>131</v>
      </c>
      <c r="D8" s="5" t="n">
        <v>7</v>
      </c>
      <c r="E8" s="5" t="n">
        <v>81</v>
      </c>
      <c r="F8" s="5" t="n">
        <v>2</v>
      </c>
      <c r="G8" s="5" t="n">
        <v>-2</v>
      </c>
      <c r="H8" s="6" t="n">
        <v>0.8</v>
      </c>
      <c r="I8" s="7" t="n">
        <v>0.1</v>
      </c>
      <c r="J8" s="5" t="n">
        <v>6</v>
      </c>
      <c r="K8" s="5" t="n">
        <v>15</v>
      </c>
      <c r="L8" s="5" t="n">
        <v>610</v>
      </c>
      <c r="M8" s="5" t="n">
        <v>8</v>
      </c>
      <c r="N8" s="5" t="n">
        <v>82</v>
      </c>
      <c r="O8" s="5" t="n">
        <v>2</v>
      </c>
      <c r="P8" s="5" t="n">
        <v>-2</v>
      </c>
      <c r="Q8" s="6" t="n">
        <v>0.4</v>
      </c>
      <c r="R8" s="4" t="inlineStr">
        <is>
          <t>%</t>
        </is>
      </c>
    </row>
    <row r="9">
      <c r="A9" s="4" t="inlineStr">
        <is>
          <t>K o lt u k s</t>
        </is>
      </c>
      <c r="B9" s="4" t="inlineStr">
        <is>
          <t>a y ıs ı,</t>
        </is>
      </c>
      <c r="C9" s="4" t="inlineStr">
        <is>
          <t>m</t>
        </is>
      </c>
      <c r="D9" s="4" t="inlineStr">
        <is>
          <t>n</t>
        </is>
      </c>
      <c r="E9" s="5" t="n">
        <v>3</v>
      </c>
      <c r="F9" s="5" t="n">
        <v>20</v>
      </c>
      <c r="G9" s="6" t="n">
        <v>3.2</v>
      </c>
      <c r="H9" s="5" t="n">
        <v>9</v>
      </c>
      <c r="I9" s="5" t="n">
        <v>-2</v>
      </c>
      <c r="J9" s="6" t="n">
        <v>0.5</v>
      </c>
      <c r="K9" s="4" t="inlineStr">
        <is>
          <t>%</t>
        </is>
      </c>
      <c r="L9" s="5" t="n">
        <v>1</v>
      </c>
      <c r="M9" s="6" t="n">
        <v>9.6</v>
      </c>
      <c r="N9" s="5" t="n">
        <v>4</v>
      </c>
      <c r="O9" s="5" t="n">
        <v>2</v>
      </c>
      <c r="P9" s="6" t="n">
        <v>0.1</v>
      </c>
      <c r="Q9" s="5" t="n">
        <v>4</v>
      </c>
      <c r="R9" s="5" t="n">
        <v>-2</v>
      </c>
      <c r="S9" s="6" t="n">
        <v>0.5</v>
      </c>
      <c r="T9" s="4" t="inlineStr">
        <is>
          <t>%</t>
        </is>
      </c>
    </row>
    <row r="10">
      <c r="A10" s="4" t="inlineStr">
        <is>
          <t>T o</t>
        </is>
      </c>
      <c r="B10" s="4" t="inlineStr">
        <is>
          <t>p l a</t>
        </is>
      </c>
      <c r="C10" s="4" t="inlineStr">
        <is>
          <t>m</t>
        </is>
      </c>
      <c r="D10" s="4" t="inlineStr">
        <is>
          <t>D o l u l u k</t>
        </is>
      </c>
      <c r="E10" s="4" t="inlineStr">
        <is>
          <t>O r a n</t>
        </is>
      </c>
      <c r="F10" s="4" t="inlineStr">
        <is>
          <t>ı</t>
        </is>
      </c>
      <c r="G10" s="6" t="n">
        <v>89.3</v>
      </c>
      <c r="H10" s="7" t="n">
        <v>0.08</v>
      </c>
      <c r="I10" s="5" t="n">
        <v>9</v>
      </c>
      <c r="J10" s="6" t="n">
        <v>0.2</v>
      </c>
      <c r="K10" s="4" t="inlineStr">
        <is>
          <t>%</t>
        </is>
      </c>
      <c r="L10" s="5" t="n">
        <v>0</v>
      </c>
      <c r="M10" s="6" t="n">
        <v>0.1</v>
      </c>
      <c r="N10" s="7" t="n">
        <v>0.08</v>
      </c>
      <c r="O10" s="5" t="n">
        <v>5</v>
      </c>
      <c r="P10" s="6" t="n">
        <v>0.3</v>
      </c>
      <c r="Q10" s="7" t="n">
        <v>0.08</v>
      </c>
      <c r="R10" s="5" t="n">
        <v>6</v>
      </c>
      <c r="S10" s="5" t="n">
        <v>0</v>
      </c>
      <c r="T10" s="4" t="inlineStr">
        <is>
          <t>%</t>
        </is>
      </c>
      <c r="U10" s="5" t="n">
        <v>0</v>
      </c>
      <c r="V10" s="6" t="n">
        <v>0.7</v>
      </c>
      <c r="W10" s="4" t="inlineStr">
        <is>
          <t>%</t>
        </is>
      </c>
      <c r="X10" s="4" t="inlineStr">
        <is>
          <t>p</t>
        </is>
      </c>
      <c r="Y10" s="4" t="inlineStr">
        <is>
          <t>p</t>
        </is>
      </c>
    </row>
    <row r="11">
      <c r="A11" s="4" t="inlineStr">
        <is>
          <t>A S K ( m</t>
        </is>
      </c>
      <c r="B11" s="4" t="inlineStr">
        <is>
          <t>k m )</t>
        </is>
      </c>
      <c r="C11" s="6" t="n">
        <v>3.7</v>
      </c>
      <c r="D11" s="5" t="n">
        <v>44</v>
      </c>
      <c r="E11" s="5" t="n">
        <v>3</v>
      </c>
      <c r="F11" s="5" t="n">
        <v>51</v>
      </c>
      <c r="G11" s="5" t="n">
        <v>7</v>
      </c>
      <c r="H11" s="5" t="n">
        <v>6</v>
      </c>
      <c r="I11" s="6" t="n">
        <v>0.4</v>
      </c>
      <c r="J11" s="7" t="n">
        <v>0.02</v>
      </c>
      <c r="K11" s="5" t="n">
        <v>1</v>
      </c>
      <c r="L11" s="5" t="n">
        <v>50</v>
      </c>
      <c r="M11" s="5" t="n">
        <v>31</v>
      </c>
      <c r="N11" s="5" t="n">
        <v>9</v>
      </c>
      <c r="O11" s="5" t="n">
        <v>88</v>
      </c>
      <c r="P11" s="5" t="n">
        <v>5</v>
      </c>
      <c r="Q11" s="5" t="n">
        <v>8</v>
      </c>
      <c r="R11" s="6" t="n">
        <v>0.1</v>
      </c>
      <c r="S11" s="4" t="inlineStr">
        <is>
          <t>%</t>
        </is>
      </c>
    </row>
    <row r="12">
      <c r="A12" s="4" t="inlineStr">
        <is>
          <t>K o n m a</t>
        </is>
      </c>
      <c r="B12" s="4" t="inlineStr">
        <is>
          <t>b a ş ın a</t>
        </is>
      </c>
      <c r="C12" s="4" t="inlineStr">
        <is>
          <t>M</t>
        </is>
      </c>
      <c r="D12" s="4" t="inlineStr">
        <is>
          <t>is a</t>
        </is>
      </c>
      <c r="E12" s="4" t="inlineStr">
        <is>
          <t>fir</t>
        </is>
      </c>
      <c r="F12" s="5" t="n">
        <v>1</v>
      </c>
      <c r="G12" s="5" t="n">
        <v>65</v>
      </c>
      <c r="H12" s="5" t="n">
        <v>16</v>
      </c>
      <c r="I12" s="5" t="n">
        <v>4</v>
      </c>
      <c r="J12" s="5" t="n">
        <v>0</v>
      </c>
      <c r="K12" s="6" t="n">
        <v>0.4</v>
      </c>
      <c r="L12" s="4" t="inlineStr">
        <is>
          <t>%</t>
        </is>
      </c>
      <c r="M12" s="5" t="n">
        <v>15</v>
      </c>
      <c r="N12" s="5" t="n">
        <v>8</v>
      </c>
      <c r="O12" s="5" t="n">
        <v>15</v>
      </c>
      <c r="P12" s="5" t="n">
        <v>9</v>
      </c>
      <c r="Q12" s="5" t="n">
        <v>0</v>
      </c>
      <c r="R12" s="6" t="n">
        <v>0.8</v>
      </c>
      <c r="S12" s="4" t="inlineStr">
        <is>
          <t>%</t>
        </is>
      </c>
    </row>
    <row r="13">
      <c r="A13" s="4" t="inlineStr">
        <is>
          <t>O r t a la m</t>
        </is>
      </c>
      <c r="B13" s="4" t="inlineStr">
        <is>
          <t>a g ü n l</t>
        </is>
      </c>
      <c r="C13" s="4" t="inlineStr">
        <is>
          <t>ü k</t>
        </is>
      </c>
      <c r="D13" s="4" t="inlineStr">
        <is>
          <t>u ç</t>
        </is>
      </c>
      <c r="E13" s="4" t="inlineStr">
        <is>
          <t>a k k u lla n ım ı ( B lo k S a a t )</t>
        </is>
      </c>
      <c r="F13" s="5" t="n">
        <v>14</v>
      </c>
      <c r="G13" s="6" t="n">
        <v>0.3</v>
      </c>
      <c r="H13" s="5" t="n">
        <v>13</v>
      </c>
      <c r="I13" s="5" t="n">
        <v>8</v>
      </c>
      <c r="J13" s="5" t="n">
        <v>3</v>
      </c>
      <c r="K13" s="6" t="n">
        <v>0.8</v>
      </c>
      <c r="L13" s="4" t="inlineStr">
        <is>
          <t>%</t>
        </is>
      </c>
      <c r="M13" s="5" t="n">
        <v>12</v>
      </c>
      <c r="N13" s="5" t="n">
        <v>8</v>
      </c>
      <c r="O13" s="5" t="n">
        <v>12</v>
      </c>
      <c r="P13" s="5" t="n">
        <v>6</v>
      </c>
      <c r="Q13" s="5" t="n">
        <v>1</v>
      </c>
      <c r="R13" s="6" t="n">
        <v>0.6</v>
      </c>
      <c r="S13" s="4" t="inlineStr">
        <is>
          <t>%</t>
        </is>
      </c>
    </row>
    <row r="14">
      <c r="A14" s="4" t="inlineStr">
        <is>
          <t>M i s a f i r</t>
        </is>
      </c>
      <c r="B14" s="4" t="inlineStr">
        <is>
          <t>s a y ı s ı</t>
        </is>
      </c>
      <c r="C14" s="4" t="inlineStr">
        <is>
          <t>, m</t>
        </is>
      </c>
      <c r="D14" s="4" t="inlineStr">
        <is>
          <t>n</t>
        </is>
      </c>
      <c r="E14" s="5" t="n">
        <v>1</v>
      </c>
      <c r="F14" s="5" t="n">
        <v>37</v>
      </c>
      <c r="G14" s="6" t="n">
        <v>1.6</v>
      </c>
      <c r="H14" s="4" t="inlineStr">
        <is>
          <t>4 -</t>
        </is>
      </c>
      <c r="I14" s="5" t="n">
        <v>16</v>
      </c>
      <c r="J14" s="6" t="n">
        <v>0.5</v>
      </c>
      <c r="K14" s="4" t="inlineStr">
        <is>
          <t>%</t>
        </is>
      </c>
      <c r="L14" s="6" t="n">
        <v>8.9</v>
      </c>
      <c r="M14" s="5" t="n">
        <v>3</v>
      </c>
      <c r="N14" s="5" t="n">
        <v>1</v>
      </c>
      <c r="O14" s="6" t="n">
        <v>0.5</v>
      </c>
      <c r="P14" s="4" t="inlineStr">
        <is>
          <t>8 -</t>
        </is>
      </c>
      <c r="Q14" s="5" t="n">
        <v>15</v>
      </c>
      <c r="R14" s="6" t="n">
        <v>0.6</v>
      </c>
      <c r="S14" s="4" t="inlineStr">
        <is>
          <t>%</t>
        </is>
      </c>
    </row>
    <row r="15">
      <c r="A15" s="4" t="inlineStr">
        <is>
          <t>K o n m a</t>
        </is>
      </c>
      <c r="B15" s="6" t="n">
        <v>7.7</v>
      </c>
      <c r="C15" s="5" t="n">
        <v>99</v>
      </c>
      <c r="D15" s="5" t="n">
        <v>9</v>
      </c>
      <c r="E15" s="5" t="n">
        <v>45</v>
      </c>
      <c r="F15" s="4" t="inlineStr">
        <is>
          <t>5 -</t>
        </is>
      </c>
      <c r="G15" s="5" t="n">
        <v>17</v>
      </c>
      <c r="H15" s="6" t="n">
        <v>0.5</v>
      </c>
      <c r="I15" s="7" t="n">
        <v>0.05</v>
      </c>
      <c r="J15" s="5" t="n">
        <v>3</v>
      </c>
      <c r="K15" s="5" t="n">
        <v>28</v>
      </c>
      <c r="L15" s="5" t="n">
        <v>96</v>
      </c>
      <c r="M15" s="5" t="n">
        <v>3</v>
      </c>
      <c r="N15" s="5" t="n">
        <v>55</v>
      </c>
      <c r="O15" s="4" t="inlineStr">
        <is>
          <t>9 -</t>
        </is>
      </c>
      <c r="P15" s="5" t="n">
        <v>16</v>
      </c>
      <c r="Q15" s="6" t="n">
        <v>0.2</v>
      </c>
      <c r="R15" s="4" t="inlineStr">
        <is>
          <t>%</t>
        </is>
      </c>
    </row>
    <row r="16">
      <c r="A16" s="4" t="inlineStr">
        <is>
          <t>İ ç</t>
        </is>
      </c>
      <c r="B16" s="4" t="inlineStr">
        <is>
          <t>H a t</t>
        </is>
      </c>
      <c r="C16" s="4" t="inlineStr">
        <is>
          <t>l a r</t>
        </is>
      </c>
      <c r="D16" s="4" t="inlineStr">
        <is>
          <t>K o lt u k s</t>
        </is>
      </c>
      <c r="E16" s="4" t="inlineStr">
        <is>
          <t>a y ıs ı,</t>
        </is>
      </c>
      <c r="F16" s="4" t="inlineStr">
        <is>
          <t>m</t>
        </is>
      </c>
      <c r="G16" s="4" t="inlineStr">
        <is>
          <t>n</t>
        </is>
      </c>
      <c r="H16" s="5" t="n">
        <v>1</v>
      </c>
      <c r="I16" s="5" t="n">
        <v>46</v>
      </c>
      <c r="J16" s="6" t="n">
        <v>1.7</v>
      </c>
      <c r="K16" s="4" t="inlineStr">
        <is>
          <t>6 -</t>
        </is>
      </c>
      <c r="L16" s="5" t="n">
        <v>17</v>
      </c>
      <c r="M16" s="6" t="n">
        <v>0.3</v>
      </c>
      <c r="N16" s="4" t="inlineStr">
        <is>
          <t>%</t>
        </is>
      </c>
      <c r="O16" s="6" t="n">
        <v>9.9</v>
      </c>
      <c r="P16" s="5" t="n">
        <v>6</v>
      </c>
      <c r="Q16" s="5" t="n">
        <v>1</v>
      </c>
      <c r="R16" s="6" t="n">
        <v>1.8</v>
      </c>
      <c r="S16" s="4" t="inlineStr">
        <is>
          <t>7 -</t>
        </is>
      </c>
      <c r="T16" s="5" t="n">
        <v>16</v>
      </c>
      <c r="U16" s="6" t="n">
        <v>0.1</v>
      </c>
      <c r="V16" s="4" t="inlineStr">
        <is>
          <t>%</t>
        </is>
      </c>
    </row>
    <row r="17">
      <c r="A17" s="4" t="inlineStr">
        <is>
          <t>D o l u l u k</t>
        </is>
      </c>
      <c r="B17" s="4" t="inlineStr">
        <is>
          <t>O r a n</t>
        </is>
      </c>
      <c r="C17" s="4" t="inlineStr">
        <is>
          <t>ı</t>
        </is>
      </c>
      <c r="D17" s="5" t="n">
        <v>94</v>
      </c>
      <c r="E17" s="7" t="n">
        <v>0.09</v>
      </c>
      <c r="F17" s="5" t="n">
        <v>3</v>
      </c>
      <c r="G17" s="6" t="n">
        <v>0.1</v>
      </c>
      <c r="H17" s="4" t="inlineStr">
        <is>
          <t>%</t>
        </is>
      </c>
      <c r="I17" s="5" t="n">
        <v>0</v>
      </c>
      <c r="J17" s="6" t="n">
        <v>0.9</v>
      </c>
      <c r="K17" s="7" t="n">
        <v>0.08</v>
      </c>
      <c r="L17" s="5" t="n">
        <v>9</v>
      </c>
      <c r="M17" s="6" t="n">
        <v>0.7</v>
      </c>
      <c r="N17" s="7" t="n">
        <v>0.08</v>
      </c>
      <c r="O17" s="5" t="n">
        <v>9</v>
      </c>
      <c r="P17" s="6" t="n">
        <v>0.1</v>
      </c>
      <c r="Q17" s="4" t="inlineStr">
        <is>
          <t>%</t>
        </is>
      </c>
      <c r="R17" s="5" t="n">
        <v>0</v>
      </c>
      <c r="S17" s="6" t="n">
        <v>0.6</v>
      </c>
      <c r="T17" s="4" t="inlineStr">
        <is>
          <t>%</t>
        </is>
      </c>
      <c r="U17" s="4" t="inlineStr">
        <is>
          <t>p</t>
        </is>
      </c>
      <c r="V17" s="4" t="inlineStr">
        <is>
          <t>p</t>
        </is>
      </c>
    </row>
    <row r="18">
      <c r="A18" s="4" t="inlineStr">
        <is>
          <t>A S K ( m</t>
        </is>
      </c>
      <c r="B18" s="4" t="inlineStr">
        <is>
          <t>k m )</t>
        </is>
      </c>
      <c r="C18" s="5" t="n">
        <v>8</v>
      </c>
      <c r="D18" s="5" t="n">
        <v>45</v>
      </c>
      <c r="E18" s="5" t="n">
        <v>1</v>
      </c>
      <c r="F18" s="5" t="n">
        <v>5</v>
      </c>
      <c r="G18" s="4" t="inlineStr">
        <is>
          <t>0 -</t>
        </is>
      </c>
      <c r="H18" s="5" t="n">
        <v>19</v>
      </c>
      <c r="I18" s="6" t="n">
        <v>0.6</v>
      </c>
      <c r="J18" s="4" t="inlineStr">
        <is>
          <t>%</t>
        </is>
      </c>
      <c r="K18" s="5" t="n">
        <v>5</v>
      </c>
      <c r="L18" s="5" t="n">
        <v>93</v>
      </c>
      <c r="M18" s="5" t="n">
        <v>4</v>
      </c>
      <c r="N18" s="5" t="n">
        <v>7</v>
      </c>
      <c r="O18" s="5" t="n">
        <v>18</v>
      </c>
      <c r="P18" s="4" t="inlineStr">
        <is>
          <t>7 -</t>
        </is>
      </c>
      <c r="Q18" s="5" t="n">
        <v>17</v>
      </c>
      <c r="R18" s="6" t="n">
        <v>0.4</v>
      </c>
      <c r="S18" s="4" t="inlineStr">
        <is>
          <t>%</t>
        </is>
      </c>
    </row>
    <row r="19">
      <c r="A19" s="4" t="inlineStr">
        <is>
          <t>K o n m a</t>
        </is>
      </c>
      <c r="B19" s="4" t="inlineStr">
        <is>
          <t>b a ş ın a</t>
        </is>
      </c>
      <c r="C19" s="4" t="inlineStr">
        <is>
          <t>M</t>
        </is>
      </c>
      <c r="D19" s="4" t="inlineStr">
        <is>
          <t>is a</t>
        </is>
      </c>
      <c r="E19" s="4" t="inlineStr">
        <is>
          <t>fir</t>
        </is>
      </c>
      <c r="F19" s="5" t="n">
        <v>1</v>
      </c>
      <c r="G19" s="5" t="n">
        <v>76</v>
      </c>
      <c r="H19" s="5" t="n">
        <v>17</v>
      </c>
      <c r="I19" s="5" t="n">
        <v>4</v>
      </c>
      <c r="J19" s="5" t="n">
        <v>1</v>
      </c>
      <c r="K19" s="6" t="n">
        <v>0.3</v>
      </c>
      <c r="L19" s="4" t="inlineStr">
        <is>
          <t>%</t>
        </is>
      </c>
      <c r="M19" s="5" t="n">
        <v>16</v>
      </c>
      <c r="N19" s="5" t="n">
        <v>8</v>
      </c>
      <c r="O19" s="5" t="n">
        <v>16</v>
      </c>
      <c r="P19" s="5" t="n">
        <v>6</v>
      </c>
      <c r="Q19" s="5" t="n">
        <v>0</v>
      </c>
      <c r="R19" s="6" t="n">
        <v>0.7</v>
      </c>
      <c r="S19" s="4" t="inlineStr">
        <is>
          <t>%</t>
        </is>
      </c>
    </row>
    <row r="20">
      <c r="A20" s="4" t="inlineStr">
        <is>
          <t>M i s a f i r</t>
        </is>
      </c>
      <c r="B20" s="4" t="inlineStr">
        <is>
          <t>s a y ı s ı</t>
        </is>
      </c>
      <c r="C20" s="4" t="inlineStr">
        <is>
          <t>, m</t>
        </is>
      </c>
      <c r="D20" s="4" t="inlineStr">
        <is>
          <t>n</t>
        </is>
      </c>
      <c r="E20" s="5" t="n">
        <v>1</v>
      </c>
      <c r="F20" s="5" t="n">
        <v>38</v>
      </c>
      <c r="G20" s="6" t="n">
        <v>1.1</v>
      </c>
      <c r="H20" s="5" t="n">
        <v>7</v>
      </c>
      <c r="I20" s="5" t="n">
        <v>18</v>
      </c>
      <c r="J20" s="6" t="n">
        <v>0.2</v>
      </c>
      <c r="K20" s="4" t="inlineStr">
        <is>
          <t>%</t>
        </is>
      </c>
      <c r="L20" s="6" t="n">
        <v>7.5</v>
      </c>
      <c r="M20" s="5" t="n">
        <v>9</v>
      </c>
      <c r="N20" s="6" t="n">
        <v>6.4</v>
      </c>
      <c r="O20" s="5" t="n">
        <v>1</v>
      </c>
      <c r="P20" s="5" t="n">
        <v>18</v>
      </c>
      <c r="Q20" s="6" t="n">
        <v>0.3</v>
      </c>
      <c r="R20" s="4" t="inlineStr">
        <is>
          <t>%</t>
        </is>
      </c>
    </row>
    <row r="21">
      <c r="A21" s="4" t="inlineStr">
        <is>
          <t>P e g a</t>
        </is>
      </c>
      <c r="B21" s="4" t="inlineStr">
        <is>
          <t>s u s</t>
        </is>
      </c>
      <c r="C21" s="6" t="n">
        <v>1.3</v>
      </c>
      <c r="D21" s="5" t="n">
        <v>6</v>
      </c>
      <c r="E21" s="5" t="n">
        <v>1</v>
      </c>
      <c r="F21" s="6" t="n">
        <v>0.1</v>
      </c>
      <c r="G21" s="5" t="n">
        <v>3</v>
      </c>
      <c r="H21" s="5" t="n">
        <v>20</v>
      </c>
      <c r="I21" s="6" t="n">
        <v>0.6</v>
      </c>
      <c r="J21" s="4" t="inlineStr">
        <is>
          <t>%</t>
        </is>
      </c>
      <c r="K21" s="5" t="n">
        <v>7</v>
      </c>
      <c r="L21" s="6" t="n">
        <v>0.4</v>
      </c>
      <c r="M21" s="5" t="n">
        <v>1</v>
      </c>
      <c r="N21" s="5" t="n">
        <v>6</v>
      </c>
      <c r="O21" s="6" t="n">
        <v>0.1</v>
      </c>
      <c r="P21" s="5" t="n">
        <v>2</v>
      </c>
      <c r="Q21" s="5" t="n">
        <v>21</v>
      </c>
      <c r="R21" s="5" t="n">
        <v>0</v>
      </c>
      <c r="S21" s="4" t="inlineStr">
        <is>
          <t>%</t>
        </is>
      </c>
    </row>
    <row r="22">
      <c r="A22" s="4" t="inlineStr">
        <is>
          <t>A ir M</t>
        </is>
      </c>
      <c r="B22" s="4" t="inlineStr">
        <is>
          <t>a n a s</t>
        </is>
      </c>
      <c r="C22" s="5" t="n">
        <v>0</v>
      </c>
      <c r="D22" s="5" t="n">
        <v>2</v>
      </c>
      <c r="E22" s="5" t="n">
        <v>0</v>
      </c>
      <c r="F22" s="5" t="n">
        <v>0</v>
      </c>
      <c r="G22" s="4" t="inlineStr">
        <is>
          <t>4 -</t>
        </is>
      </c>
      <c r="H22" s="5" t="n">
        <v>43</v>
      </c>
      <c r="I22" s="6" t="n">
        <v>0.9</v>
      </c>
      <c r="J22" s="4" t="inlineStr">
        <is>
          <t>%</t>
        </is>
      </c>
      <c r="K22" s="5" t="n">
        <v>0</v>
      </c>
      <c r="L22" s="6" t="n">
        <v>0.1</v>
      </c>
      <c r="M22" s="5" t="n">
        <v>8</v>
      </c>
      <c r="N22" s="5" t="n">
        <v>0</v>
      </c>
      <c r="O22" s="6" t="n">
        <v>0.2</v>
      </c>
      <c r="P22" s="4" t="inlineStr">
        <is>
          <t>9 -</t>
        </is>
      </c>
      <c r="Q22" s="5" t="n">
        <v>38</v>
      </c>
      <c r="R22" s="6" t="n">
        <v>0.8</v>
      </c>
      <c r="S22" s="4" t="inlineStr">
        <is>
          <t>%</t>
        </is>
      </c>
    </row>
    <row r="23">
      <c r="A23" s="4" t="inlineStr">
        <is>
          <t>D ı</t>
        </is>
      </c>
      <c r="B23" s="4" t="inlineStr">
        <is>
          <t>ş H a</t>
        </is>
      </c>
      <c r="C23" s="4" t="inlineStr">
        <is>
          <t>t l a r</t>
        </is>
      </c>
      <c r="D23" s="4" t="inlineStr">
        <is>
          <t>K o n m a</t>
        </is>
      </c>
      <c r="E23" s="6" t="n">
        <v>8.800000000000001</v>
      </c>
      <c r="F23" s="5" t="n">
        <v>46</v>
      </c>
      <c r="G23" s="5" t="n">
        <v>7</v>
      </c>
      <c r="H23" s="5" t="n">
        <v>66</v>
      </c>
      <c r="I23" s="5" t="n">
        <v>0</v>
      </c>
      <c r="J23" s="5" t="n">
        <v>15</v>
      </c>
      <c r="K23" s="6" t="n">
        <v>0.5</v>
      </c>
      <c r="L23" s="7" t="n">
        <v>0.05</v>
      </c>
      <c r="M23" s="5" t="n">
        <v>1</v>
      </c>
      <c r="N23" s="5" t="n">
        <v>25</v>
      </c>
      <c r="O23" s="5" t="n">
        <v>94</v>
      </c>
      <c r="P23" s="5" t="n">
        <v>3</v>
      </c>
      <c r="Q23" s="5" t="n">
        <v>10</v>
      </c>
      <c r="R23" s="5" t="n">
        <v>5</v>
      </c>
      <c r="S23" s="5" t="n">
        <v>18</v>
      </c>
      <c r="T23" s="6" t="n">
        <v>0.9</v>
      </c>
      <c r="U23" s="4" t="inlineStr">
        <is>
          <t>%</t>
        </is>
      </c>
    </row>
    <row r="24">
      <c r="A24" s="4" t="inlineStr">
        <is>
          <t>K o lt u k s</t>
        </is>
      </c>
      <c r="B24" s="4" t="inlineStr">
        <is>
          <t>a y ıs ı,</t>
        </is>
      </c>
      <c r="C24" s="4" t="inlineStr">
        <is>
          <t>m</t>
        </is>
      </c>
      <c r="D24" s="4" t="inlineStr">
        <is>
          <t>n</t>
        </is>
      </c>
      <c r="E24" s="5" t="n">
        <v>1</v>
      </c>
      <c r="F24" s="5" t="n">
        <v>62</v>
      </c>
      <c r="G24" s="6" t="n">
        <v>1.3</v>
      </c>
      <c r="H24" s="5" t="n">
        <v>9</v>
      </c>
      <c r="I24" s="5" t="n">
        <v>16</v>
      </c>
      <c r="J24" s="6" t="n">
        <v>0.5</v>
      </c>
      <c r="K24" s="4" t="inlineStr">
        <is>
          <t>%</t>
        </is>
      </c>
      <c r="L24" s="6" t="n">
        <v>9.4</v>
      </c>
      <c r="M24" s="5" t="n">
        <v>1</v>
      </c>
      <c r="N24" s="6" t="n">
        <v>7.9</v>
      </c>
      <c r="O24" s="5" t="n">
        <v>1</v>
      </c>
      <c r="P24" s="5" t="n">
        <v>19</v>
      </c>
      <c r="Q24" s="5" t="n">
        <v>0</v>
      </c>
      <c r="R24" s="4" t="inlineStr">
        <is>
          <t>%</t>
        </is>
      </c>
    </row>
    <row r="25">
      <c r="A25" s="4" t="inlineStr">
        <is>
          <t>D o l u l u k</t>
        </is>
      </c>
      <c r="B25" s="4" t="inlineStr">
        <is>
          <t>O r a n</t>
        </is>
      </c>
      <c r="C25" s="4" t="inlineStr">
        <is>
          <t>ı</t>
        </is>
      </c>
      <c r="D25" s="6" t="n">
        <v>85.09999999999999</v>
      </c>
      <c r="E25" s="7" t="n">
        <v>0.08</v>
      </c>
      <c r="F25" s="5" t="n">
        <v>3</v>
      </c>
      <c r="G25" s="6" t="n">
        <v>0.9</v>
      </c>
      <c r="H25" s="4" t="inlineStr">
        <is>
          <t>%</t>
        </is>
      </c>
      <c r="I25" s="5" t="n">
        <v>1</v>
      </c>
      <c r="J25" s="6" t="n">
        <v>0.2</v>
      </c>
      <c r="K25" s="7" t="n">
        <v>0.08</v>
      </c>
      <c r="L25" s="5" t="n">
        <v>0</v>
      </c>
      <c r="M25" s="6" t="n">
        <v>0.6</v>
      </c>
      <c r="N25" s="7" t="n">
        <v>0.08</v>
      </c>
      <c r="O25" s="5" t="n">
        <v>1</v>
      </c>
      <c r="P25" s="6" t="n">
        <v>0.1</v>
      </c>
      <c r="Q25" s="4" t="inlineStr">
        <is>
          <t>%</t>
        </is>
      </c>
      <c r="R25" s="5" t="n">
        <v>0</v>
      </c>
      <c r="S25" s="6" t="n">
        <v>0.5</v>
      </c>
      <c r="T25" s="4" t="inlineStr">
        <is>
          <t>%</t>
        </is>
      </c>
      <c r="U25" s="4" t="inlineStr">
        <is>
          <t>p</t>
        </is>
      </c>
      <c r="V25" s="4" t="inlineStr">
        <is>
          <t>p</t>
        </is>
      </c>
    </row>
    <row r="26">
      <c r="A26" s="4" t="inlineStr">
        <is>
          <t>A S K ( m</t>
        </is>
      </c>
      <c r="B26" s="4" t="inlineStr">
        <is>
          <t>k m )</t>
        </is>
      </c>
      <c r="C26" s="6" t="n">
        <v>2.7</v>
      </c>
      <c r="D26" s="5" t="n">
        <v>2</v>
      </c>
      <c r="E26" s="5" t="n">
        <v>2</v>
      </c>
      <c r="F26" s="5" t="n">
        <v>22</v>
      </c>
      <c r="G26" s="5" t="n">
        <v>6</v>
      </c>
      <c r="H26" s="5" t="n">
        <v>21</v>
      </c>
      <c r="I26" s="6" t="n">
        <v>0.4</v>
      </c>
      <c r="J26" s="7" t="n">
        <v>0.01</v>
      </c>
      <c r="K26" s="5" t="n">
        <v>5</v>
      </c>
      <c r="L26" s="5" t="n">
        <v>12</v>
      </c>
      <c r="M26" s="5" t="n">
        <v>71</v>
      </c>
      <c r="N26" s="5" t="n">
        <v>2</v>
      </c>
      <c r="O26" s="5" t="n">
        <v>7</v>
      </c>
      <c r="P26" s="5" t="n">
        <v>2</v>
      </c>
      <c r="Q26" s="5" t="n">
        <v>25</v>
      </c>
      <c r="R26" s="6" t="n">
        <v>0.3</v>
      </c>
      <c r="S26" s="4" t="inlineStr">
        <is>
          <t>%</t>
        </is>
      </c>
    </row>
    <row r="27">
      <c r="A27" s="4" t="inlineStr">
        <is>
          <t>K o n m a</t>
        </is>
      </c>
      <c r="B27" s="4" t="inlineStr">
        <is>
          <t>b a ş ın a</t>
        </is>
      </c>
      <c r="C27" s="4" t="inlineStr">
        <is>
          <t>M</t>
        </is>
      </c>
      <c r="D27" s="4" t="inlineStr">
        <is>
          <t>is a</t>
        </is>
      </c>
      <c r="E27" s="4" t="inlineStr">
        <is>
          <t>fir</t>
        </is>
      </c>
      <c r="F27" s="5" t="n">
        <v>1</v>
      </c>
      <c r="G27" s="5" t="n">
        <v>56</v>
      </c>
      <c r="H27" s="5" t="n">
        <v>15</v>
      </c>
      <c r="I27" s="5" t="n">
        <v>3</v>
      </c>
      <c r="J27" s="5" t="n">
        <v>2</v>
      </c>
      <c r="K27" s="6" t="n">
        <v>0.4</v>
      </c>
      <c r="L27" s="4" t="inlineStr">
        <is>
          <t>%</t>
        </is>
      </c>
      <c r="M27" s="5" t="n">
        <v>14</v>
      </c>
      <c r="N27" s="5" t="n">
        <v>8</v>
      </c>
      <c r="O27" s="5" t="n">
        <v>14</v>
      </c>
      <c r="P27" s="5" t="n">
        <v>9</v>
      </c>
      <c r="Q27" s="5" t="n">
        <v>0</v>
      </c>
      <c r="R27" s="6" t="n">
        <v>0.5</v>
      </c>
      <c r="S27" s="4" t="inlineStr">
        <is>
          <t>%</t>
        </is>
      </c>
    </row>
    <row r="28">
      <c r="A28" s="4" t="inlineStr">
        <is>
          <t>M i s a f i r</t>
        </is>
      </c>
      <c r="B28" s="4" t="inlineStr">
        <is>
          <t>s a y ıs ı,</t>
        </is>
      </c>
      <c r="C28" s="4" t="inlineStr">
        <is>
          <t>m</t>
        </is>
      </c>
      <c r="D28" s="4" t="inlineStr">
        <is>
          <t>n</t>
        </is>
      </c>
      <c r="E28" s="5" t="n">
        <v>0</v>
      </c>
      <c r="F28" s="5" t="n">
        <v>11</v>
      </c>
      <c r="G28" s="6" t="n">
        <v>0.1</v>
      </c>
      <c r="H28" s="5" t="n">
        <v>2</v>
      </c>
      <c r="I28" s="5" t="n">
        <v>-9</v>
      </c>
      <c r="J28" s="6" t="n">
        <v>0.9</v>
      </c>
      <c r="K28" s="4" t="inlineStr">
        <is>
          <t>%</t>
        </is>
      </c>
      <c r="L28" s="6" t="n">
        <v>0.2</v>
      </c>
      <c r="M28" s="5" t="n">
        <v>4</v>
      </c>
      <c r="N28" s="6" t="n">
        <v>0.3</v>
      </c>
      <c r="O28" s="4" t="inlineStr">
        <is>
          <t>3 -</t>
        </is>
      </c>
      <c r="P28" s="5" t="n">
        <v>28</v>
      </c>
      <c r="Q28" s="5" t="n">
        <v>0</v>
      </c>
      <c r="R28" s="4" t="inlineStr">
        <is>
          <t>%</t>
        </is>
      </c>
    </row>
    <row r="29">
      <c r="A29" s="4" t="inlineStr">
        <is>
          <t>K o n m a</t>
        </is>
      </c>
      <c r="B29" s="5" t="n">
        <v>6</v>
      </c>
      <c r="C29" s="5" t="n">
        <v>68</v>
      </c>
      <c r="D29" s="5" t="n">
        <v>69</v>
      </c>
      <c r="E29" s="5" t="n">
        <v>7</v>
      </c>
      <c r="F29" s="5" t="n">
        <v>-4</v>
      </c>
      <c r="G29" s="6" t="n">
        <v>0.2</v>
      </c>
      <c r="H29" s="4" t="inlineStr">
        <is>
          <t>%</t>
        </is>
      </c>
      <c r="I29" s="5" t="n">
        <v>1</v>
      </c>
      <c r="J29" s="5" t="n">
        <v>60</v>
      </c>
      <c r="K29" s="5" t="n">
        <v>8</v>
      </c>
      <c r="L29" s="5" t="n">
        <v>2</v>
      </c>
      <c r="M29" s="5" t="n">
        <v>15</v>
      </c>
      <c r="N29" s="4" t="inlineStr">
        <is>
          <t>8 -</t>
        </is>
      </c>
      <c r="O29" s="5" t="n">
        <v>25</v>
      </c>
      <c r="P29" s="6" t="n">
        <v>0.5</v>
      </c>
      <c r="Q29" s="4" t="inlineStr">
        <is>
          <t>%</t>
        </is>
      </c>
    </row>
    <row r="30">
      <c r="A30" s="4" t="inlineStr">
        <is>
          <t>C h</t>
        </is>
      </c>
      <c r="B30" s="4" t="inlineStr">
        <is>
          <t>a r t</t>
        </is>
      </c>
      <c r="C30" s="4" t="inlineStr">
        <is>
          <t>e r</t>
        </is>
      </c>
    </row>
    <row r="31">
      <c r="A31" s="4" t="inlineStr">
        <is>
          <t>K o l t u k</t>
        </is>
      </c>
      <c r="B31" s="4" t="inlineStr">
        <is>
          <t>s a y ıs ı,</t>
        </is>
      </c>
      <c r="C31" s="4" t="inlineStr">
        <is>
          <t>m</t>
        </is>
      </c>
      <c r="D31" s="4" t="inlineStr">
        <is>
          <t>n</t>
        </is>
      </c>
      <c r="E31" s="5" t="n">
        <v>0</v>
      </c>
      <c r="F31" s="5" t="n">
        <v>12</v>
      </c>
      <c r="G31" s="6" t="n">
        <v>0.1</v>
      </c>
      <c r="H31" s="5" t="n">
        <v>3</v>
      </c>
      <c r="I31" s="5" t="n">
        <v>-6</v>
      </c>
      <c r="J31" s="6" t="n">
        <v>0.6</v>
      </c>
      <c r="K31" s="4" t="inlineStr">
        <is>
          <t>%</t>
        </is>
      </c>
      <c r="L31" s="6" t="n">
        <v>0.2</v>
      </c>
      <c r="M31" s="5" t="n">
        <v>7</v>
      </c>
      <c r="N31" s="6" t="n">
        <v>0.3</v>
      </c>
      <c r="O31" s="4" t="inlineStr">
        <is>
          <t>7 -</t>
        </is>
      </c>
      <c r="P31" s="5" t="n">
        <v>25</v>
      </c>
      <c r="Q31" s="6" t="n">
        <v>0.5</v>
      </c>
      <c r="R31" s="4" t="inlineStr">
        <is>
          <t>%</t>
        </is>
      </c>
    </row>
    <row r="32">
      <c r="A32" s="4" t="inlineStr">
        <is>
          <t>A S K ( m</t>
        </is>
      </c>
      <c r="B32" s="4" t="inlineStr">
        <is>
          <t>k m )</t>
        </is>
      </c>
      <c r="C32" s="5" t="n">
        <v>1</v>
      </c>
      <c r="D32" s="5" t="n">
        <v>97</v>
      </c>
      <c r="E32" s="5" t="n">
        <v>24</v>
      </c>
      <c r="F32" s="4" t="inlineStr">
        <is>
          <t>1 -</t>
        </is>
      </c>
      <c r="G32" s="5" t="n">
        <v>18</v>
      </c>
      <c r="H32" s="6" t="n">
        <v>0.2</v>
      </c>
      <c r="I32" s="4" t="inlineStr">
        <is>
          <t>%</t>
        </is>
      </c>
      <c r="J32" s="5" t="n">
        <v>44</v>
      </c>
      <c r="K32" s="5" t="n">
        <v>2</v>
      </c>
      <c r="L32" s="5" t="n">
        <v>62</v>
      </c>
      <c r="M32" s="4" t="inlineStr">
        <is>
          <t>7 -</t>
        </is>
      </c>
      <c r="N32" s="5" t="n">
        <v>29</v>
      </c>
      <c r="O32" s="6" t="n">
        <v>0.5</v>
      </c>
      <c r="P32" s="4" t="inlineStr">
        <is>
          <t>%</t>
        </is>
      </c>
    </row>
    <row r="34">
      <c r="A34" s="4" t="inlineStr">
        <is>
          <t>Genel</t>
        </is>
      </c>
      <c r="B34" s="4" t="inlineStr">
        <is>
          <t>(Public)</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X34"/>
  <sheetViews>
    <sheetView workbookViewId="0">
      <selection activeCell="A1" sqref="A1"/>
    </sheetView>
  </sheetViews>
  <sheetFormatPr baseColWidth="8" defaultRowHeight="15"/>
  <cols>
    <col width="19" customWidth="1" min="1" max="1"/>
    <col width="12" customWidth="1" min="2" max="2"/>
    <col width="17" customWidth="1" min="3" max="3"/>
    <col width="18" customWidth="1" min="4" max="4"/>
    <col width="32" customWidth="1" min="5" max="5"/>
    <col width="23" customWidth="1" min="6" max="6"/>
    <col width="12" customWidth="1" min="7" max="7"/>
    <col width="23" customWidth="1" min="8" max="8"/>
    <col width="12" customWidth="1" min="9" max="9"/>
    <col width="12" customWidth="1" min="10" max="10"/>
    <col width="17"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4" t="inlineStr">
        <is>
          <t>P E</t>
        </is>
      </c>
      <c r="B1" s="4" t="inlineStr">
        <is>
          <t>G A S</t>
        </is>
      </c>
      <c r="C1" s="4" t="inlineStr">
        <is>
          <t>U S H A</t>
        </is>
      </c>
      <c r="D1" s="4" t="inlineStr">
        <is>
          <t>V A T A Ş I M</t>
        </is>
      </c>
      <c r="E1" s="4" t="inlineStr">
        <is>
          <t>A C</t>
        </is>
      </c>
      <c r="F1" s="4" t="inlineStr">
        <is>
          <t>I L I Ğ</t>
        </is>
      </c>
      <c r="G1" s="4" t="inlineStr">
        <is>
          <t>I A</t>
        </is>
      </c>
      <c r="H1" s="4" t="inlineStr">
        <is>
          <t>. Ş .</t>
        </is>
      </c>
    </row>
    <row r="2">
      <c r="A2" s="3" t="inlineStr">
        <is>
          <t>A Ğ</t>
        </is>
      </c>
      <c r="B2" s="3" t="inlineStr">
        <is>
          <t>U S T</t>
        </is>
      </c>
      <c r="C2" s="3" t="inlineStr">
        <is>
          <t>O S 2 0</t>
        </is>
      </c>
      <c r="D2" s="3" t="inlineStr">
        <is>
          <t>1 9 T R A F İ K</t>
        </is>
      </c>
      <c r="E2" s="3" t="inlineStr">
        <is>
          <t>S O</t>
        </is>
      </c>
      <c r="F2" s="3" t="inlineStr">
        <is>
          <t>N U</t>
        </is>
      </c>
      <c r="G2" s="3" t="inlineStr">
        <is>
          <t>Ç L</t>
        </is>
      </c>
      <c r="H2" s="3" t="inlineStr">
        <is>
          <t>A R I</t>
        </is>
      </c>
    </row>
    <row r="3">
      <c r="A3" s="4" t="inlineStr">
        <is>
          <t>1 0 .</t>
        </is>
      </c>
      <c r="B3" s="6" t="n">
        <v>9.199999999999999</v>
      </c>
      <c r="C3" s="5" t="n">
        <v>19</v>
      </c>
    </row>
    <row r="5">
      <c r="A5" s="4" t="inlineStr">
        <is>
          <t>A ğ u</t>
        </is>
      </c>
      <c r="B5" s="4" t="inlineStr">
        <is>
          <t>s</t>
        </is>
      </c>
      <c r="C5" s="4" t="inlineStr">
        <is>
          <t>t o s A ğ u</t>
        </is>
      </c>
      <c r="D5" s="4" t="inlineStr">
        <is>
          <t>s t o</t>
        </is>
      </c>
      <c r="E5" s="4" t="inlineStr">
        <is>
          <t>s 2</t>
        </is>
      </c>
      <c r="F5" s="5" t="n">
        <v>1</v>
      </c>
      <c r="G5" s="5" t="n">
        <v>9</v>
      </c>
      <c r="H5" s="4" t="inlineStr">
        <is>
          <t>v s O c a k - A ğ u</t>
        </is>
      </c>
      <c r="I5" s="4" t="inlineStr">
        <is>
          <t>s</t>
        </is>
      </c>
      <c r="J5" s="4" t="inlineStr">
        <is>
          <t>t o s</t>
        </is>
      </c>
      <c r="K5" s="4" t="inlineStr">
        <is>
          <t>O c a k - A ğ u</t>
        </is>
      </c>
      <c r="L5" s="4" t="inlineStr">
        <is>
          <t>s</t>
        </is>
      </c>
      <c r="M5" s="4" t="inlineStr">
        <is>
          <t>t o s</t>
        </is>
      </c>
      <c r="N5" s="5" t="n">
        <v>2</v>
      </c>
      <c r="O5" s="5" t="n">
        <v>1</v>
      </c>
      <c r="P5" s="5" t="n">
        <v>9</v>
      </c>
      <c r="Q5" s="4" t="inlineStr">
        <is>
          <t>v s</t>
        </is>
      </c>
    </row>
    <row r="6">
      <c r="A6" s="4" t="inlineStr">
        <is>
          <t>2</t>
        </is>
      </c>
      <c r="B6" s="5" t="n">
        <v>19</v>
      </c>
      <c r="C6" s="5" t="n">
        <v>20</v>
      </c>
      <c r="D6" s="5" t="n">
        <v>18</v>
      </c>
      <c r="E6" s="5" t="n">
        <v>2</v>
      </c>
      <c r="F6" s="5" t="n">
        <v>0</v>
      </c>
      <c r="G6" s="5" t="n">
        <v>18</v>
      </c>
      <c r="H6" s="5" t="n">
        <v>2</v>
      </c>
      <c r="I6" s="5" t="n">
        <v>1</v>
      </c>
      <c r="J6" s="5" t="n">
        <v>9</v>
      </c>
      <c r="K6" s="5" t="n">
        <v>2</v>
      </c>
      <c r="L6" s="5" t="n">
        <v>1</v>
      </c>
      <c r="M6" s="5" t="n">
        <v>8</v>
      </c>
      <c r="N6" s="5" t="n">
        <v>2</v>
      </c>
      <c r="O6" s="5" t="n">
        <v>0</v>
      </c>
      <c r="P6" s="5" t="n">
        <v>18</v>
      </c>
    </row>
    <row r="7">
      <c r="A7" s="4" t="inlineStr">
        <is>
          <t>M i s a f i r s a</t>
        </is>
      </c>
      <c r="B7" s="4" t="inlineStr">
        <is>
          <t>y ı s</t>
        </is>
      </c>
      <c r="C7" s="4" t="inlineStr">
        <is>
          <t>ı , m</t>
        </is>
      </c>
      <c r="D7" s="4" t="inlineStr">
        <is>
          <t>n</t>
        </is>
      </c>
      <c r="E7" s="6" t="n">
        <v>2.96</v>
      </c>
      <c r="F7" s="5" t="n">
        <v>2</v>
      </c>
      <c r="G7" s="5" t="n">
        <v>98</v>
      </c>
      <c r="H7" s="5" t="n">
        <v>0</v>
      </c>
      <c r="I7" s="6" t="n">
        <v>0.7</v>
      </c>
      <c r="J7" s="4" t="inlineStr">
        <is>
          <t>%</t>
        </is>
      </c>
      <c r="K7" s="5" t="n">
        <v>1</v>
      </c>
      <c r="L7" s="6" t="n">
        <v>9.699999999999999</v>
      </c>
      <c r="M7" s="5" t="n">
        <v>1</v>
      </c>
      <c r="N7" s="5" t="n">
        <v>2</v>
      </c>
      <c r="O7" s="6" t="n">
        <v>0.2</v>
      </c>
      <c r="P7" s="5" t="n">
        <v>9</v>
      </c>
      <c r="Q7" s="5" t="n">
        <v>-2</v>
      </c>
      <c r="R7" s="6" t="n">
        <v>0.9</v>
      </c>
      <c r="S7" s="4" t="inlineStr">
        <is>
          <t>%</t>
        </is>
      </c>
    </row>
    <row r="8">
      <c r="A8" s="4" t="inlineStr">
        <is>
          <t>K o n m a</t>
        </is>
      </c>
      <c r="B8" s="5" t="n">
        <v>1</v>
      </c>
      <c r="C8" s="5" t="n">
        <v>7</v>
      </c>
      <c r="D8" s="5" t="n">
        <v>8971</v>
      </c>
      <c r="E8" s="6" t="n">
        <v>8.199999999999999</v>
      </c>
      <c r="F8" s="5" t="n">
        <v>24</v>
      </c>
      <c r="G8" s="5" t="n">
        <v>-1</v>
      </c>
      <c r="H8" s="6" t="n">
        <v>0.8</v>
      </c>
      <c r="I8" s="7" t="n">
        <v>0.12</v>
      </c>
      <c r="J8" s="5" t="n">
        <v>4</v>
      </c>
      <c r="K8" s="5" t="n">
        <v>5</v>
      </c>
      <c r="L8" s="5" t="n">
        <v>312</v>
      </c>
      <c r="M8" s="5" t="n">
        <v>7</v>
      </c>
      <c r="N8" s="5" t="n">
        <v>4</v>
      </c>
      <c r="O8" s="5" t="n">
        <v>6</v>
      </c>
      <c r="P8" s="5" t="n">
        <v>-2</v>
      </c>
      <c r="Q8" s="6" t="n">
        <v>0.4</v>
      </c>
      <c r="R8" s="4" t="inlineStr">
        <is>
          <t>%</t>
        </is>
      </c>
    </row>
    <row r="9">
      <c r="A9" s="4" t="inlineStr">
        <is>
          <t>K o lt u k s a y</t>
        </is>
      </c>
      <c r="B9" s="4" t="inlineStr">
        <is>
          <t>ıs ı</t>
        </is>
      </c>
      <c r="C9" s="4" t="inlineStr">
        <is>
          <t>, m</t>
        </is>
      </c>
      <c r="D9" s="4" t="inlineStr">
        <is>
          <t>n</t>
        </is>
      </c>
      <c r="E9" s="6" t="n">
        <v>3.3</v>
      </c>
      <c r="F9" s="5" t="n">
        <v>3</v>
      </c>
      <c r="G9" s="5" t="n">
        <v>36</v>
      </c>
      <c r="H9" s="5" t="n">
        <v>-1</v>
      </c>
      <c r="I9" s="6" t="n">
        <v>0.9</v>
      </c>
      <c r="J9" s="4" t="inlineStr">
        <is>
          <t>%</t>
        </is>
      </c>
      <c r="K9" s="5" t="n">
        <v>2</v>
      </c>
      <c r="L9" s="6" t="n">
        <v>2.9</v>
      </c>
      <c r="M9" s="5" t="n">
        <v>3</v>
      </c>
      <c r="N9" s="5" t="n">
        <v>2</v>
      </c>
      <c r="O9" s="6" t="n">
        <v>3.5</v>
      </c>
      <c r="P9" s="5" t="n">
        <v>0</v>
      </c>
      <c r="Q9" s="5" t="n">
        <v>-2</v>
      </c>
      <c r="R9" s="6" t="n">
        <v>0.4</v>
      </c>
      <c r="S9" s="4" t="inlineStr">
        <is>
          <t>%</t>
        </is>
      </c>
    </row>
    <row r="10">
      <c r="A10" s="4" t="inlineStr">
        <is>
          <t>T o</t>
        </is>
      </c>
      <c r="B10" s="4" t="inlineStr">
        <is>
          <t>p l a m</t>
        </is>
      </c>
      <c r="C10" s="4" t="inlineStr">
        <is>
          <t>D o l u l u k O</t>
        </is>
      </c>
      <c r="D10" s="4" t="inlineStr">
        <is>
          <t>r a</t>
        </is>
      </c>
      <c r="E10" s="4" t="inlineStr">
        <is>
          <t>n ı</t>
        </is>
      </c>
      <c r="F10" s="5" t="n">
        <v>8</v>
      </c>
      <c r="G10" s="5" t="n">
        <v>9</v>
      </c>
      <c r="H10" s="7" t="n">
        <v>0.007800000000000001</v>
      </c>
      <c r="I10" s="6" t="n">
        <v>8.6</v>
      </c>
      <c r="J10" s="4" t="inlineStr">
        <is>
          <t>%</t>
        </is>
      </c>
      <c r="K10" s="5" t="n">
        <v>1</v>
      </c>
      <c r="L10" s="6" t="n">
        <v>0.1</v>
      </c>
      <c r="M10" s="7" t="n">
        <v>0.08</v>
      </c>
      <c r="N10" s="5" t="n">
        <v>5</v>
      </c>
      <c r="O10" s="6" t="n">
        <v>0.9</v>
      </c>
      <c r="P10" s="7" t="n">
        <v>0.08</v>
      </c>
      <c r="Q10" s="5" t="n">
        <v>6</v>
      </c>
      <c r="R10" s="6" t="n">
        <v>0.4</v>
      </c>
      <c r="S10" s="4" t="inlineStr">
        <is>
          <t>%</t>
        </is>
      </c>
      <c r="T10" s="5" t="n">
        <v>0</v>
      </c>
      <c r="U10" s="6" t="n">
        <v>0.4</v>
      </c>
      <c r="V10" s="4" t="inlineStr">
        <is>
          <t>%</t>
        </is>
      </c>
      <c r="W10" s="4" t="inlineStr">
        <is>
          <t>p</t>
        </is>
      </c>
      <c r="X10" s="4" t="inlineStr">
        <is>
          <t>p</t>
        </is>
      </c>
    </row>
    <row r="11">
      <c r="A11" s="4" t="inlineStr">
        <is>
          <t>A S K ( m k</t>
        </is>
      </c>
      <c r="B11" s="4" t="inlineStr">
        <is>
          <t>m )</t>
        </is>
      </c>
      <c r="C11" s="5" t="n">
        <v>3</v>
      </c>
      <c r="D11" s="5" t="n">
        <v>857</v>
      </c>
      <c r="E11" s="6" t="n">
        <v>3.6</v>
      </c>
      <c r="F11" s="5" t="n">
        <v>56</v>
      </c>
      <c r="G11" s="5" t="n">
        <v>5</v>
      </c>
      <c r="H11" s="6" t="n">
        <v>0.5</v>
      </c>
      <c r="I11" s="7" t="n">
        <v>0.02</v>
      </c>
      <c r="J11" s="5" t="n">
        <v>5</v>
      </c>
      <c r="K11" s="5" t="n">
        <v>36</v>
      </c>
      <c r="L11" s="5" t="n">
        <v>2</v>
      </c>
      <c r="M11" s="5" t="n">
        <v>3</v>
      </c>
      <c r="N11" s="5" t="n">
        <v>54</v>
      </c>
      <c r="O11" s="5" t="n">
        <v>1</v>
      </c>
      <c r="P11" s="5" t="n">
        <v>7</v>
      </c>
      <c r="Q11" s="6" t="n">
        <v>0.7</v>
      </c>
      <c r="R11" s="4" t="inlineStr">
        <is>
          <t>%</t>
        </is>
      </c>
    </row>
    <row r="12">
      <c r="A12" s="4" t="inlineStr">
        <is>
          <t>K o n m a b a</t>
        </is>
      </c>
      <c r="B12" s="4" t="inlineStr">
        <is>
          <t>ş ın</t>
        </is>
      </c>
      <c r="C12" s="4" t="inlineStr">
        <is>
          <t>a M</t>
        </is>
      </c>
      <c r="D12" s="4" t="inlineStr">
        <is>
          <t>is a</t>
        </is>
      </c>
      <c r="E12" s="4" t="inlineStr">
        <is>
          <t>fir</t>
        </is>
      </c>
      <c r="F12" s="5" t="n">
        <v>165</v>
      </c>
      <c r="G12" s="5" t="n">
        <v>1</v>
      </c>
      <c r="H12" s="5" t="n">
        <v>63</v>
      </c>
      <c r="I12" s="5" t="n">
        <v>1</v>
      </c>
      <c r="J12" s="6" t="n">
        <v>0.1</v>
      </c>
      <c r="K12" s="4" t="inlineStr">
        <is>
          <t>%</t>
        </is>
      </c>
      <c r="L12" s="5" t="n">
        <v>15</v>
      </c>
      <c r="M12" s="5" t="n">
        <v>9</v>
      </c>
      <c r="N12" s="5" t="n">
        <v>16</v>
      </c>
      <c r="O12" s="5" t="n">
        <v>0</v>
      </c>
      <c r="P12" s="5" t="n">
        <v>0</v>
      </c>
      <c r="Q12" s="6" t="n">
        <v>0.5</v>
      </c>
      <c r="R12" s="4" t="inlineStr">
        <is>
          <t>%</t>
        </is>
      </c>
    </row>
    <row r="13">
      <c r="A13" s="4" t="inlineStr">
        <is>
          <t>O r t a la m a</t>
        </is>
      </c>
      <c r="B13" s="4" t="inlineStr">
        <is>
          <t>g ü n</t>
        </is>
      </c>
      <c r="C13" s="4" t="inlineStr">
        <is>
          <t>lü k</t>
        </is>
      </c>
      <c r="D13" s="4" t="inlineStr">
        <is>
          <t>u ç</t>
        </is>
      </c>
      <c r="E13" s="4" t="inlineStr">
        <is>
          <t>a k k u lla n ım ı ( B lo k S a a t )</t>
        </is>
      </c>
      <c r="F13" s="6" t="n">
        <v>14.3</v>
      </c>
      <c r="G13" s="5" t="n">
        <v>13</v>
      </c>
      <c r="H13" s="6" t="n">
        <v>0.8</v>
      </c>
      <c r="I13" s="5" t="n">
        <v>2</v>
      </c>
      <c r="J13" s="6" t="n">
        <v>0.9</v>
      </c>
      <c r="K13" s="4" t="inlineStr">
        <is>
          <t>%</t>
        </is>
      </c>
      <c r="L13" s="5" t="n">
        <v>13</v>
      </c>
      <c r="M13" s="5" t="n">
        <v>0</v>
      </c>
      <c r="N13" s="5" t="n">
        <v>12</v>
      </c>
      <c r="O13" s="5" t="n">
        <v>8</v>
      </c>
      <c r="P13" s="5" t="n">
        <v>1</v>
      </c>
      <c r="Q13" s="6" t="n">
        <v>0.8</v>
      </c>
      <c r="R13" s="4" t="inlineStr">
        <is>
          <t>%</t>
        </is>
      </c>
    </row>
    <row r="14">
      <c r="A14" s="4" t="inlineStr">
        <is>
          <t>M i s a f i r s a</t>
        </is>
      </c>
      <c r="B14" s="4" t="inlineStr">
        <is>
          <t>y ı s</t>
        </is>
      </c>
      <c r="C14" s="4" t="inlineStr">
        <is>
          <t>ı , m</t>
        </is>
      </c>
      <c r="D14" s="4" t="inlineStr">
        <is>
          <t>n</t>
        </is>
      </c>
      <c r="E14" s="6" t="n">
        <v>1.39</v>
      </c>
      <c r="F14" s="5" t="n">
        <v>1</v>
      </c>
      <c r="G14" s="4" t="inlineStr">
        <is>
          <t>5 9 -</t>
        </is>
      </c>
      <c r="H14" s="5" t="n">
        <v>12</v>
      </c>
      <c r="I14" s="6" t="n">
        <v>0.4</v>
      </c>
      <c r="J14" s="4" t="inlineStr">
        <is>
          <t>%</t>
        </is>
      </c>
      <c r="K14" s="5" t="n">
        <v>1</v>
      </c>
      <c r="L14" s="6" t="n">
        <v>0.3</v>
      </c>
      <c r="M14" s="5" t="n">
        <v>2</v>
      </c>
      <c r="N14" s="5" t="n">
        <v>1</v>
      </c>
      <c r="O14" s="6" t="n">
        <v>2.1</v>
      </c>
      <c r="P14" s="4" t="inlineStr">
        <is>
          <t>7 -</t>
        </is>
      </c>
      <c r="Q14" s="5" t="n">
        <v>15</v>
      </c>
      <c r="R14" s="6" t="n">
        <v>0.2</v>
      </c>
      <c r="S14" s="4" t="inlineStr">
        <is>
          <t>%</t>
        </is>
      </c>
    </row>
    <row r="15">
      <c r="A15" s="4" t="inlineStr">
        <is>
          <t>K o n m a</t>
        </is>
      </c>
      <c r="B15" s="5" t="n">
        <v>8</v>
      </c>
      <c r="C15" s="5" t="n">
        <v>15</v>
      </c>
      <c r="D15" s="6" t="n">
        <v>9.4</v>
      </c>
      <c r="E15" s="4" t="inlineStr">
        <is>
          <t>2 8 -</t>
        </is>
      </c>
      <c r="F15" s="5" t="n">
        <v>15</v>
      </c>
      <c r="G15" s="5" t="n">
        <v>0</v>
      </c>
      <c r="H15" s="7" t="n">
        <v>0.06</v>
      </c>
      <c r="I15" s="5" t="n">
        <v>1</v>
      </c>
      <c r="J15" s="5" t="n">
        <v>30</v>
      </c>
      <c r="K15" s="5" t="n">
        <v>47</v>
      </c>
      <c r="L15" s="5" t="n">
        <v>2</v>
      </c>
      <c r="M15" s="5" t="n">
        <v>98</v>
      </c>
      <c r="N15" s="4" t="inlineStr">
        <is>
          <t>7 -</t>
        </is>
      </c>
      <c r="O15" s="5" t="n">
        <v>16</v>
      </c>
      <c r="P15" s="5" t="n">
        <v>0</v>
      </c>
      <c r="Q15" s="4" t="inlineStr">
        <is>
          <t>%</t>
        </is>
      </c>
    </row>
    <row r="16">
      <c r="A16" s="4" t="inlineStr">
        <is>
          <t>İ ç</t>
        </is>
      </c>
      <c r="B16" s="4" t="inlineStr">
        <is>
          <t>H a t l</t>
        </is>
      </c>
      <c r="C16" s="4" t="inlineStr">
        <is>
          <t>a r</t>
        </is>
      </c>
      <c r="D16" s="4" t="inlineStr">
        <is>
          <t>K o lt u k s a y</t>
        </is>
      </c>
      <c r="E16" s="4" t="inlineStr">
        <is>
          <t>ıs ı</t>
        </is>
      </c>
      <c r="F16" s="4" t="inlineStr">
        <is>
          <t>, m</t>
        </is>
      </c>
      <c r="G16" s="4" t="inlineStr">
        <is>
          <t>n</t>
        </is>
      </c>
      <c r="H16" s="6" t="n">
        <v>1.5</v>
      </c>
      <c r="I16" s="5" t="n">
        <v>1</v>
      </c>
      <c r="J16" s="4" t="inlineStr">
        <is>
          <t>7 6 -</t>
        </is>
      </c>
      <c r="K16" s="5" t="n">
        <v>14</v>
      </c>
      <c r="L16" s="6" t="n">
        <v>0.8</v>
      </c>
      <c r="M16" s="4" t="inlineStr">
        <is>
          <t>%</t>
        </is>
      </c>
      <c r="N16" s="5" t="n">
        <v>1</v>
      </c>
      <c r="O16" s="6" t="n">
        <v>1.4</v>
      </c>
      <c r="P16" s="5" t="n">
        <v>5</v>
      </c>
      <c r="Q16" s="5" t="n">
        <v>1</v>
      </c>
      <c r="R16" s="6" t="n">
        <v>3.6</v>
      </c>
      <c r="S16" s="4" t="inlineStr">
        <is>
          <t>3 -</t>
        </is>
      </c>
      <c r="T16" s="5" t="n">
        <v>15</v>
      </c>
      <c r="U16" s="6" t="n">
        <v>0.9</v>
      </c>
      <c r="V16" s="4" t="inlineStr">
        <is>
          <t>%</t>
        </is>
      </c>
    </row>
    <row r="17">
      <c r="A17" s="4" t="inlineStr">
        <is>
          <t>D o l u l u k O</t>
        </is>
      </c>
      <c r="B17" s="4" t="inlineStr">
        <is>
          <t>r a</t>
        </is>
      </c>
      <c r="C17" s="4" t="inlineStr">
        <is>
          <t>n ı</t>
        </is>
      </c>
      <c r="D17" s="5" t="n">
        <v>9</v>
      </c>
      <c r="E17" s="5" t="n">
        <v>2</v>
      </c>
      <c r="F17" s="7" t="n">
        <v>0.009899999999999999</v>
      </c>
      <c r="G17" s="6" t="n">
        <v>0.4</v>
      </c>
      <c r="H17" s="4" t="inlineStr">
        <is>
          <t>%</t>
        </is>
      </c>
      <c r="I17" s="5" t="n">
        <v>2</v>
      </c>
      <c r="J17" s="6" t="n">
        <v>0.6</v>
      </c>
      <c r="K17" s="7" t="n">
        <v>0.09</v>
      </c>
      <c r="L17" s="5" t="n">
        <v>0</v>
      </c>
      <c r="M17" s="6" t="n">
        <v>0.1</v>
      </c>
      <c r="N17" s="7" t="n">
        <v>0.08</v>
      </c>
      <c r="O17" s="5" t="n">
        <v>9</v>
      </c>
      <c r="P17" s="6" t="n">
        <v>0.3</v>
      </c>
      <c r="Q17" s="4" t="inlineStr">
        <is>
          <t>%</t>
        </is>
      </c>
      <c r="R17" s="5" t="n">
        <v>0</v>
      </c>
      <c r="S17" s="6" t="n">
        <v>0.8</v>
      </c>
      <c r="T17" s="4" t="inlineStr">
        <is>
          <t>%</t>
        </is>
      </c>
      <c r="U17" s="4" t="inlineStr">
        <is>
          <t>p</t>
        </is>
      </c>
      <c r="V17" s="4" t="inlineStr">
        <is>
          <t>p</t>
        </is>
      </c>
    </row>
    <row r="18">
      <c r="A18" s="4" t="inlineStr">
        <is>
          <t>A S K ( m k</t>
        </is>
      </c>
      <c r="B18" s="4" t="inlineStr">
        <is>
          <t>m )</t>
        </is>
      </c>
      <c r="C18" s="5" t="n">
        <v>866</v>
      </c>
      <c r="D18" s="5" t="n">
        <v>1</v>
      </c>
      <c r="E18" s="4" t="inlineStr">
        <is>
          <t>4 6 -</t>
        </is>
      </c>
      <c r="F18" s="5" t="n">
        <v>17</v>
      </c>
      <c r="G18" s="6" t="n">
        <v>0.2</v>
      </c>
      <c r="H18" s="4" t="inlineStr">
        <is>
          <t>%</t>
        </is>
      </c>
      <c r="I18" s="5" t="n">
        <v>6</v>
      </c>
      <c r="J18" s="5" t="n">
        <v>80</v>
      </c>
      <c r="K18" s="5" t="n">
        <v>1</v>
      </c>
      <c r="L18" s="5" t="n">
        <v>8</v>
      </c>
      <c r="M18" s="5" t="n">
        <v>23</v>
      </c>
      <c r="N18" s="4" t="inlineStr">
        <is>
          <t>2 -</t>
        </is>
      </c>
      <c r="O18" s="5" t="n">
        <v>17</v>
      </c>
      <c r="P18" s="6" t="n">
        <v>0.4</v>
      </c>
      <c r="Q18" s="4" t="inlineStr">
        <is>
          <t>%</t>
        </is>
      </c>
    </row>
    <row r="19">
      <c r="A19" s="4" t="inlineStr">
        <is>
          <t>K o n m a b a</t>
        </is>
      </c>
      <c r="B19" s="4" t="inlineStr">
        <is>
          <t>ş ın</t>
        </is>
      </c>
      <c r="C19" s="4" t="inlineStr">
        <is>
          <t>a M</t>
        </is>
      </c>
      <c r="D19" s="4" t="inlineStr">
        <is>
          <t>is a</t>
        </is>
      </c>
      <c r="E19" s="4" t="inlineStr">
        <is>
          <t>fir</t>
        </is>
      </c>
      <c r="F19" s="5" t="n">
        <v>174</v>
      </c>
      <c r="G19" s="5" t="n">
        <v>1</v>
      </c>
      <c r="H19" s="5" t="n">
        <v>69</v>
      </c>
      <c r="I19" s="5" t="n">
        <v>3</v>
      </c>
      <c r="J19" s="5" t="n">
        <v>0</v>
      </c>
      <c r="K19" s="4" t="inlineStr">
        <is>
          <t>%</t>
        </is>
      </c>
      <c r="L19" s="5" t="n">
        <v>16</v>
      </c>
      <c r="M19" s="5" t="n">
        <v>8</v>
      </c>
      <c r="N19" s="5" t="n">
        <v>16</v>
      </c>
      <c r="O19" s="5" t="n">
        <v>7</v>
      </c>
      <c r="P19" s="5" t="n">
        <v>1</v>
      </c>
      <c r="Q19" s="5" t="n">
        <v>0</v>
      </c>
      <c r="R19" s="4" t="inlineStr">
        <is>
          <t>%</t>
        </is>
      </c>
    </row>
    <row r="20">
      <c r="A20" s="4" t="inlineStr">
        <is>
          <t>M i s a f i r s a</t>
        </is>
      </c>
      <c r="B20" s="4" t="inlineStr">
        <is>
          <t>y ı s</t>
        </is>
      </c>
      <c r="C20" s="4" t="inlineStr">
        <is>
          <t>ı , m</t>
        </is>
      </c>
      <c r="D20" s="4" t="inlineStr">
        <is>
          <t>n</t>
        </is>
      </c>
      <c r="E20" s="6" t="n">
        <v>1.44</v>
      </c>
      <c r="F20" s="5" t="n">
        <v>1</v>
      </c>
      <c r="G20" s="5" t="n">
        <v>25</v>
      </c>
      <c r="H20" s="5" t="n">
        <v>14</v>
      </c>
      <c r="I20" s="6" t="n">
        <v>0.7</v>
      </c>
      <c r="J20" s="4" t="inlineStr">
        <is>
          <t>%</t>
        </is>
      </c>
      <c r="K20" s="5" t="n">
        <v>9</v>
      </c>
      <c r="L20" s="5" t="n">
        <v>2</v>
      </c>
      <c r="M20" s="6" t="n">
        <v>7.6</v>
      </c>
      <c r="N20" s="5" t="n">
        <v>7</v>
      </c>
      <c r="O20" s="5" t="n">
        <v>17</v>
      </c>
      <c r="P20" s="6" t="n">
        <v>0.7</v>
      </c>
      <c r="Q20" s="4" t="inlineStr">
        <is>
          <t>%</t>
        </is>
      </c>
    </row>
    <row r="21">
      <c r="A21" s="4" t="inlineStr">
        <is>
          <t>P e g a s u</t>
        </is>
      </c>
      <c r="B21" s="4" t="inlineStr">
        <is>
          <t>s</t>
        </is>
      </c>
      <c r="C21" s="5" t="n">
        <v>1</v>
      </c>
      <c r="D21" s="6" t="n">
        <v>0.41</v>
      </c>
      <c r="E21" s="6" t="n">
        <v>1.2</v>
      </c>
      <c r="F21" s="5" t="n">
        <v>1</v>
      </c>
      <c r="G21" s="5" t="n">
        <v>16</v>
      </c>
      <c r="H21" s="6" t="n">
        <v>0.7</v>
      </c>
      <c r="I21" s="4" t="inlineStr">
        <is>
          <t>%</t>
        </is>
      </c>
      <c r="J21" s="5" t="n">
        <v>8</v>
      </c>
      <c r="K21" s="6" t="n">
        <v>0.8</v>
      </c>
      <c r="L21" s="5" t="n">
        <v>2</v>
      </c>
      <c r="M21" s="5" t="n">
        <v>7</v>
      </c>
      <c r="N21" s="6" t="n">
        <v>0.3</v>
      </c>
      <c r="O21" s="5" t="n">
        <v>3</v>
      </c>
      <c r="P21" s="5" t="n">
        <v>20</v>
      </c>
      <c r="Q21" s="6" t="n">
        <v>0.3</v>
      </c>
      <c r="R21" s="4" t="inlineStr">
        <is>
          <t>%</t>
        </is>
      </c>
    </row>
    <row r="22">
      <c r="A22" s="4" t="inlineStr">
        <is>
          <t>A ir M a n</t>
        </is>
      </c>
      <c r="B22" s="4" t="inlineStr">
        <is>
          <t>a s</t>
        </is>
      </c>
      <c r="C22" s="5" t="n">
        <v>0</v>
      </c>
      <c r="D22" s="6" t="n">
        <v>0.02</v>
      </c>
      <c r="E22" s="5" t="n">
        <v>0</v>
      </c>
      <c r="F22" s="4" t="inlineStr">
        <is>
          <t>4 -</t>
        </is>
      </c>
      <c r="G22" s="5" t="n">
        <v>40</v>
      </c>
      <c r="H22" s="6" t="n">
        <v>0.9</v>
      </c>
      <c r="I22" s="4" t="inlineStr">
        <is>
          <t>%</t>
        </is>
      </c>
      <c r="J22" s="5" t="n">
        <v>0</v>
      </c>
      <c r="K22" s="6" t="n">
        <v>0.2</v>
      </c>
      <c r="L22" s="5" t="n">
        <v>0</v>
      </c>
      <c r="M22" s="5" t="n">
        <v>0</v>
      </c>
      <c r="N22" s="6" t="n">
        <v>0.3</v>
      </c>
      <c r="O22" s="4" t="inlineStr">
        <is>
          <t>4 -</t>
        </is>
      </c>
      <c r="P22" s="5" t="n">
        <v>39</v>
      </c>
      <c r="Q22" s="5" t="n">
        <v>0</v>
      </c>
      <c r="R22" s="4" t="inlineStr">
        <is>
          <t>%</t>
        </is>
      </c>
    </row>
    <row r="23">
      <c r="A23" s="4" t="inlineStr">
        <is>
          <t>D ı ş</t>
        </is>
      </c>
      <c r="B23" s="4" t="inlineStr">
        <is>
          <t>H a t</t>
        </is>
      </c>
      <c r="C23" s="4" t="inlineStr">
        <is>
          <t>l a r</t>
        </is>
      </c>
      <c r="D23" s="4" t="inlineStr">
        <is>
          <t>K o n m a</t>
        </is>
      </c>
      <c r="E23" s="5" t="n">
        <v>9</v>
      </c>
      <c r="F23" s="5" t="n">
        <v>97</v>
      </c>
      <c r="G23" s="5" t="n">
        <v>8</v>
      </c>
      <c r="H23" s="5" t="n">
        <v>10</v>
      </c>
      <c r="I23" s="5" t="n">
        <v>13</v>
      </c>
      <c r="J23" s="6" t="n">
        <v>0.6</v>
      </c>
      <c r="K23" s="7" t="n">
        <v>0.06</v>
      </c>
      <c r="L23" s="5" t="n">
        <v>0</v>
      </c>
      <c r="M23" s="5" t="n">
        <v>35</v>
      </c>
      <c r="N23" s="5" t="n">
        <v>65</v>
      </c>
      <c r="O23" s="5" t="n">
        <v>1</v>
      </c>
      <c r="P23" s="5" t="n">
        <v>11</v>
      </c>
      <c r="Q23" s="5" t="n">
        <v>5</v>
      </c>
      <c r="R23" s="5" t="n">
        <v>18</v>
      </c>
      <c r="S23" s="6" t="n">
        <v>0.1</v>
      </c>
      <c r="T23" s="4" t="inlineStr">
        <is>
          <t>%</t>
        </is>
      </c>
    </row>
    <row r="24">
      <c r="A24" s="4" t="inlineStr">
        <is>
          <t>K o lt u k s a y</t>
        </is>
      </c>
      <c r="B24" s="4" t="inlineStr">
        <is>
          <t>ıs ı</t>
        </is>
      </c>
      <c r="C24" s="4" t="inlineStr">
        <is>
          <t>, m</t>
        </is>
      </c>
      <c r="D24" s="4" t="inlineStr">
        <is>
          <t>n</t>
        </is>
      </c>
      <c r="E24" s="6" t="n">
        <v>1.66</v>
      </c>
      <c r="F24" s="5" t="n">
        <v>1</v>
      </c>
      <c r="G24" s="5" t="n">
        <v>45</v>
      </c>
      <c r="H24" s="5" t="n">
        <v>14</v>
      </c>
      <c r="I24" s="6" t="n">
        <v>0.2</v>
      </c>
      <c r="J24" s="4" t="inlineStr">
        <is>
          <t>%</t>
        </is>
      </c>
      <c r="K24" s="5" t="n">
        <v>1</v>
      </c>
      <c r="L24" s="5" t="n">
        <v>1</v>
      </c>
      <c r="M24" s="5" t="n">
        <v>6</v>
      </c>
      <c r="N24" s="6" t="n">
        <v>9.300000000000001</v>
      </c>
      <c r="O24" s="5" t="n">
        <v>6</v>
      </c>
      <c r="P24" s="5" t="n">
        <v>18</v>
      </c>
      <c r="Q24" s="6" t="n">
        <v>0.2</v>
      </c>
      <c r="R24" s="4" t="inlineStr">
        <is>
          <t>%</t>
        </is>
      </c>
    </row>
    <row r="25">
      <c r="A25" s="4" t="inlineStr">
        <is>
          <t>D o l u l u k O</t>
        </is>
      </c>
      <c r="B25" s="4" t="inlineStr">
        <is>
          <t>r a</t>
        </is>
      </c>
      <c r="C25" s="4" t="inlineStr">
        <is>
          <t>n ı</t>
        </is>
      </c>
      <c r="D25" s="5" t="n">
        <v>8</v>
      </c>
      <c r="E25" s="5" t="n">
        <v>6</v>
      </c>
      <c r="F25" s="7" t="n">
        <v>0.007800000000000001</v>
      </c>
      <c r="G25" s="6" t="n">
        <v>6.3</v>
      </c>
      <c r="H25" s="4" t="inlineStr">
        <is>
          <t>%</t>
        </is>
      </c>
      <c r="I25" s="5" t="n">
        <v>0</v>
      </c>
      <c r="J25" s="6" t="n">
        <v>0.4</v>
      </c>
      <c r="K25" s="7" t="n">
        <v>0.08</v>
      </c>
      <c r="L25" s="5" t="n">
        <v>1</v>
      </c>
      <c r="M25" s="6" t="n">
        <v>0.6</v>
      </c>
      <c r="N25" s="7" t="n">
        <v>0.08</v>
      </c>
      <c r="O25" s="5" t="n">
        <v>1</v>
      </c>
      <c r="P25" s="6" t="n">
        <v>0.9</v>
      </c>
      <c r="Q25" s="4" t="inlineStr">
        <is>
          <t>%</t>
        </is>
      </c>
      <c r="R25" s="5" t="n">
        <v>0</v>
      </c>
      <c r="S25" s="6" t="n">
        <v>0.4</v>
      </c>
      <c r="T25" s="4" t="inlineStr">
        <is>
          <t>%</t>
        </is>
      </c>
      <c r="U25" s="4" t="inlineStr">
        <is>
          <t>p</t>
        </is>
      </c>
      <c r="V25" s="4" t="inlineStr">
        <is>
          <t>p</t>
        </is>
      </c>
    </row>
    <row r="26">
      <c r="A26" s="4" t="inlineStr">
        <is>
          <t>A S K ( m k</t>
        </is>
      </c>
      <c r="B26" s="4" t="inlineStr">
        <is>
          <t>m )</t>
        </is>
      </c>
      <c r="C26" s="5" t="n">
        <v>2</v>
      </c>
      <c r="D26" s="5" t="n">
        <v>775</v>
      </c>
      <c r="E26" s="6" t="n">
        <v>2.3</v>
      </c>
      <c r="F26" s="5" t="n">
        <v>37</v>
      </c>
      <c r="G26" s="5" t="n">
        <v>18</v>
      </c>
      <c r="H26" s="6" t="n">
        <v>0.8</v>
      </c>
      <c r="I26" s="7" t="n">
        <v>0.01</v>
      </c>
      <c r="J26" s="5" t="n">
        <v>7</v>
      </c>
      <c r="K26" s="5" t="n">
        <v>90</v>
      </c>
      <c r="L26" s="5" t="n">
        <v>21</v>
      </c>
      <c r="M26" s="5" t="n">
        <v>4</v>
      </c>
      <c r="N26" s="5" t="n">
        <v>40</v>
      </c>
      <c r="O26" s="5" t="n">
        <v>8</v>
      </c>
      <c r="P26" s="5" t="n">
        <v>24</v>
      </c>
      <c r="Q26" s="6" t="n">
        <v>0.2</v>
      </c>
      <c r="R26" s="4" t="inlineStr">
        <is>
          <t>%</t>
        </is>
      </c>
    </row>
    <row r="27">
      <c r="A27" s="4" t="inlineStr">
        <is>
          <t>K o n m a b a</t>
        </is>
      </c>
      <c r="B27" s="4" t="inlineStr">
        <is>
          <t>ş ın</t>
        </is>
      </c>
      <c r="C27" s="4" t="inlineStr">
        <is>
          <t>a M</t>
        </is>
      </c>
      <c r="D27" s="4" t="inlineStr">
        <is>
          <t>is a</t>
        </is>
      </c>
      <c r="E27" s="4" t="inlineStr">
        <is>
          <t>fir</t>
        </is>
      </c>
      <c r="F27" s="5" t="n">
        <v>158</v>
      </c>
      <c r="G27" s="5" t="n">
        <v>1</v>
      </c>
      <c r="H27" s="5" t="n">
        <v>56</v>
      </c>
      <c r="I27" s="5" t="n">
        <v>1</v>
      </c>
      <c r="J27" s="5" t="n">
        <v>0</v>
      </c>
      <c r="K27" s="4" t="inlineStr">
        <is>
          <t>%</t>
        </is>
      </c>
      <c r="L27" s="5" t="n">
        <v>14</v>
      </c>
      <c r="M27" s="5" t="n">
        <v>9</v>
      </c>
      <c r="N27" s="5" t="n">
        <v>15</v>
      </c>
      <c r="O27" s="5" t="n">
        <v>0</v>
      </c>
      <c r="P27" s="5" t="n">
        <v>0</v>
      </c>
      <c r="Q27" s="6" t="n">
        <v>0.3</v>
      </c>
      <c r="R27" s="4" t="inlineStr">
        <is>
          <t>%</t>
        </is>
      </c>
    </row>
    <row r="28">
      <c r="A28" s="4" t="inlineStr">
        <is>
          <t>M i s a f i r s a</t>
        </is>
      </c>
      <c r="B28" s="4" t="inlineStr">
        <is>
          <t>y ıs</t>
        </is>
      </c>
      <c r="C28" s="4" t="inlineStr">
        <is>
          <t>ı, m</t>
        </is>
      </c>
      <c r="D28" s="4" t="inlineStr">
        <is>
          <t>n</t>
        </is>
      </c>
      <c r="E28" s="6" t="n">
        <v>0.13</v>
      </c>
      <c r="F28" s="5" t="n">
        <v>0</v>
      </c>
      <c r="G28" s="5" t="n">
        <v>13</v>
      </c>
      <c r="H28" s="5" t="n">
        <v>-5</v>
      </c>
      <c r="I28" s="6" t="n">
        <v>0.3</v>
      </c>
      <c r="J28" s="4" t="inlineStr">
        <is>
          <t>%</t>
        </is>
      </c>
      <c r="K28" s="6" t="n">
        <v>0.3</v>
      </c>
      <c r="L28" s="5" t="n">
        <v>6</v>
      </c>
      <c r="M28" s="6" t="n">
        <v>0.4</v>
      </c>
      <c r="N28" s="4" t="inlineStr">
        <is>
          <t>6 -</t>
        </is>
      </c>
      <c r="O28" s="5" t="n">
        <v>21</v>
      </c>
      <c r="P28" s="6" t="n">
        <v>0.5</v>
      </c>
      <c r="Q28" s="4" t="inlineStr">
        <is>
          <t>%</t>
        </is>
      </c>
    </row>
    <row r="29">
      <c r="A29" s="4" t="inlineStr">
        <is>
          <t>K o n m a</t>
        </is>
      </c>
      <c r="B29" s="5" t="n">
        <v>785</v>
      </c>
      <c r="C29" s="5" t="n">
        <v>7</v>
      </c>
      <c r="D29" s="5" t="n">
        <v>86</v>
      </c>
      <c r="E29" s="5" t="n">
        <v>0</v>
      </c>
      <c r="F29" s="6" t="n">
        <v>0.1</v>
      </c>
      <c r="G29" s="4" t="inlineStr">
        <is>
          <t>%</t>
        </is>
      </c>
      <c r="H29" s="5" t="n">
        <v>2</v>
      </c>
      <c r="I29" s="5" t="n">
        <v>39</v>
      </c>
      <c r="J29" s="5" t="n">
        <v>3</v>
      </c>
      <c r="K29" s="5" t="n">
        <v>2</v>
      </c>
      <c r="L29" s="5" t="n">
        <v>94</v>
      </c>
      <c r="M29" s="4" t="inlineStr">
        <is>
          <t>4 -</t>
        </is>
      </c>
      <c r="N29" s="5" t="n">
        <v>18</v>
      </c>
      <c r="O29" s="6" t="n">
        <v>0.7</v>
      </c>
      <c r="P29" s="4" t="inlineStr">
        <is>
          <t>%</t>
        </is>
      </c>
    </row>
    <row r="30">
      <c r="A30" s="4" t="inlineStr">
        <is>
          <t>C h</t>
        </is>
      </c>
      <c r="B30" s="4" t="inlineStr">
        <is>
          <t>a r t e</t>
        </is>
      </c>
      <c r="C30" s="4" t="inlineStr">
        <is>
          <t>r</t>
        </is>
      </c>
    </row>
    <row r="31">
      <c r="A31" s="4" t="inlineStr">
        <is>
          <t>K o l t u k s a</t>
        </is>
      </c>
      <c r="B31" s="4" t="inlineStr">
        <is>
          <t>y ıs ı</t>
        </is>
      </c>
      <c r="C31" s="4" t="inlineStr">
        <is>
          <t>, m</t>
        </is>
      </c>
      <c r="D31" s="4" t="inlineStr">
        <is>
          <t>n</t>
        </is>
      </c>
      <c r="E31" s="6" t="n">
        <v>0.14</v>
      </c>
      <c r="F31" s="5" t="n">
        <v>0</v>
      </c>
      <c r="G31" s="5" t="n">
        <v>15</v>
      </c>
      <c r="H31" s="5" t="n">
        <v>-4</v>
      </c>
      <c r="I31" s="6" t="n">
        <v>0.5</v>
      </c>
      <c r="J31" s="4" t="inlineStr">
        <is>
          <t>%</t>
        </is>
      </c>
      <c r="K31" s="6" t="n">
        <v>0.4</v>
      </c>
      <c r="L31" s="5" t="n">
        <v>1</v>
      </c>
      <c r="M31" s="6" t="n">
        <v>0.5</v>
      </c>
      <c r="N31" s="4" t="inlineStr">
        <is>
          <t>1 -</t>
        </is>
      </c>
      <c r="O31" s="5" t="n">
        <v>19</v>
      </c>
      <c r="P31" s="6" t="n">
        <v>0.5</v>
      </c>
      <c r="Q31" s="4" t="inlineStr">
        <is>
          <t>%</t>
        </is>
      </c>
    </row>
    <row r="32">
      <c r="A32" s="4" t="inlineStr">
        <is>
          <t>A S K ( m k</t>
        </is>
      </c>
      <c r="B32" s="4" t="inlineStr">
        <is>
          <t>m )</t>
        </is>
      </c>
      <c r="C32" s="5" t="n">
        <v>215</v>
      </c>
      <c r="D32" s="5" t="n">
        <v>2</v>
      </c>
      <c r="E32" s="4" t="inlineStr">
        <is>
          <t>7 4 -</t>
        </is>
      </c>
      <c r="F32" s="5" t="n">
        <v>21</v>
      </c>
      <c r="G32" s="6" t="n">
        <v>0.4</v>
      </c>
      <c r="H32" s="4" t="inlineStr">
        <is>
          <t>%</t>
        </is>
      </c>
      <c r="I32" s="5" t="n">
        <v>65</v>
      </c>
      <c r="J32" s="5" t="n">
        <v>7</v>
      </c>
      <c r="K32" s="5" t="n">
        <v>90</v>
      </c>
      <c r="L32" s="4" t="inlineStr">
        <is>
          <t>1 -</t>
        </is>
      </c>
      <c r="M32" s="5" t="n">
        <v>27</v>
      </c>
      <c r="N32" s="5" t="n">
        <v>0</v>
      </c>
      <c r="O32" s="4" t="inlineStr">
        <is>
          <t>%</t>
        </is>
      </c>
    </row>
    <row r="34">
      <c r="A34" s="2" t="inlineStr">
        <is>
          <t>Genel (Public)</t>
        </is>
      </c>
    </row>
  </sheetData>
  <mergeCells count="1">
    <mergeCell ref="A34:X34"/>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Z32"/>
  <sheetViews>
    <sheetView workbookViewId="0">
      <selection activeCell="A1" sqref="A1"/>
    </sheetView>
  </sheetViews>
  <sheetFormatPr baseColWidth="8" defaultRowHeight="15"/>
  <cols>
    <col width="15" customWidth="1" min="1" max="1"/>
    <col width="13" customWidth="1" min="2" max="2"/>
    <col width="12" customWidth="1" min="3" max="3"/>
    <col width="15" customWidth="1" min="4" max="4"/>
    <col width="32" customWidth="1" min="5" max="5"/>
    <col width="12" customWidth="1" min="6" max="6"/>
    <col width="12" customWidth="1" min="7" max="7"/>
    <col width="13"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4" t="inlineStr">
        <is>
          <t>P E G</t>
        </is>
      </c>
      <c r="B1" s="4" t="inlineStr">
        <is>
          <t>A S</t>
        </is>
      </c>
      <c r="C1" s="4" t="inlineStr">
        <is>
          <t>U S H A</t>
        </is>
      </c>
      <c r="D1" s="4" t="inlineStr">
        <is>
          <t>V A T A Ş</t>
        </is>
      </c>
      <c r="E1" s="4" t="inlineStr">
        <is>
          <t>I M A C I</t>
        </is>
      </c>
      <c r="F1" s="4" t="inlineStr">
        <is>
          <t>L I Ğ</t>
        </is>
      </c>
      <c r="G1" s="4" t="inlineStr">
        <is>
          <t>I A</t>
        </is>
      </c>
      <c r="H1" s="4" t="inlineStr">
        <is>
          <t>. Ş .</t>
        </is>
      </c>
    </row>
    <row r="2">
      <c r="A2" s="3" t="inlineStr">
        <is>
          <t>E Y L</t>
        </is>
      </c>
      <c r="B2" s="3" t="inlineStr">
        <is>
          <t>Ü L</t>
        </is>
      </c>
      <c r="C2" s="3" t="inlineStr">
        <is>
          <t>2 0 1 9 T</t>
        </is>
      </c>
      <c r="D2" s="3" t="inlineStr">
        <is>
          <t>R A F İ K S</t>
        </is>
      </c>
      <c r="E2" s="3" t="inlineStr">
        <is>
          <t>O N U Ç</t>
        </is>
      </c>
      <c r="F2" s="3" t="inlineStr">
        <is>
          <t>L A</t>
        </is>
      </c>
      <c r="G2" s="3" t="inlineStr">
        <is>
          <t>R I</t>
        </is>
      </c>
    </row>
    <row r="3">
      <c r="A3" s="4" t="inlineStr">
        <is>
          <t>0 9 .</t>
        </is>
      </c>
      <c r="B3" s="6" t="n">
        <v>10.2</v>
      </c>
      <c r="C3" s="5" t="n">
        <v>19</v>
      </c>
    </row>
    <row r="5">
      <c r="A5" s="4" t="inlineStr">
        <is>
          <t>E</t>
        </is>
      </c>
      <c r="B5" s="4" t="inlineStr">
        <is>
          <t>y l ü l</t>
        </is>
      </c>
      <c r="C5" s="4" t="inlineStr">
        <is>
          <t>E</t>
        </is>
      </c>
      <c r="D5" s="4" t="inlineStr">
        <is>
          <t>y l ü l</t>
        </is>
      </c>
      <c r="E5" s="5" t="n">
        <v>2</v>
      </c>
      <c r="F5" s="5" t="n">
        <v>1</v>
      </c>
      <c r="G5" s="5" t="n">
        <v>9</v>
      </c>
      <c r="H5" s="4" t="inlineStr">
        <is>
          <t>v s O c a k</t>
        </is>
      </c>
      <c r="I5" s="4" t="inlineStr">
        <is>
          <t>- E</t>
        </is>
      </c>
      <c r="J5" s="4" t="inlineStr">
        <is>
          <t>y l ü l</t>
        </is>
      </c>
      <c r="K5" s="4" t="inlineStr">
        <is>
          <t>O c a k</t>
        </is>
      </c>
      <c r="L5" s="4" t="inlineStr">
        <is>
          <t>- E</t>
        </is>
      </c>
      <c r="M5" s="4" t="inlineStr">
        <is>
          <t>y l ü l</t>
        </is>
      </c>
      <c r="N5" s="5" t="n">
        <v>2</v>
      </c>
      <c r="O5" s="5" t="n">
        <v>1</v>
      </c>
      <c r="P5" s="5" t="n">
        <v>9</v>
      </c>
      <c r="Q5" s="4" t="inlineStr">
        <is>
          <t>v s</t>
        </is>
      </c>
    </row>
    <row r="6">
      <c r="A6" s="4" t="inlineStr">
        <is>
          <t>2 0 1</t>
        </is>
      </c>
      <c r="B6" s="5" t="n">
        <v>9</v>
      </c>
      <c r="C6" s="5" t="n">
        <v>201</v>
      </c>
      <c r="D6" s="5" t="n">
        <v>8</v>
      </c>
      <c r="E6" s="5" t="n">
        <v>2</v>
      </c>
      <c r="F6" s="5" t="n">
        <v>0</v>
      </c>
      <c r="G6" s="5" t="n">
        <v>18</v>
      </c>
      <c r="H6" s="5" t="n">
        <v>201</v>
      </c>
      <c r="I6" s="5" t="n">
        <v>9</v>
      </c>
      <c r="J6" s="5" t="n">
        <v>201</v>
      </c>
      <c r="K6" s="5" t="n">
        <v>8</v>
      </c>
      <c r="L6" s="5" t="n">
        <v>2</v>
      </c>
      <c r="M6" s="5" t="n">
        <v>0</v>
      </c>
      <c r="N6" s="5" t="n">
        <v>18</v>
      </c>
    </row>
    <row r="7">
      <c r="A7" s="4" t="inlineStr">
        <is>
          <t>M i s a f i r</t>
        </is>
      </c>
      <c r="B7" s="4" t="inlineStr">
        <is>
          <t>s a y ı s ı</t>
        </is>
      </c>
      <c r="C7" s="4" t="inlineStr">
        <is>
          <t>, m</t>
        </is>
      </c>
      <c r="D7" s="4" t="inlineStr">
        <is>
          <t>n</t>
        </is>
      </c>
      <c r="E7" s="6" t="n">
        <v>2.7</v>
      </c>
      <c r="F7" s="5" t="n">
        <v>4</v>
      </c>
      <c r="G7" s="6" t="n">
        <v>2.7</v>
      </c>
      <c r="H7" s="5" t="n">
        <v>6</v>
      </c>
      <c r="I7" s="5" t="n">
        <v>0</v>
      </c>
      <c r="J7" s="6" t="n">
        <v>0.7</v>
      </c>
      <c r="K7" s="4" t="inlineStr">
        <is>
          <t>%</t>
        </is>
      </c>
      <c r="L7" s="5" t="n">
        <v>2</v>
      </c>
      <c r="M7" s="6" t="n">
        <v>2.4</v>
      </c>
      <c r="N7" s="5" t="n">
        <v>5</v>
      </c>
      <c r="O7" s="5" t="n">
        <v>2</v>
      </c>
      <c r="P7" s="5" t="n">
        <v>3</v>
      </c>
      <c r="Q7" s="5" t="n">
        <v>6</v>
      </c>
      <c r="R7" s="5" t="n">
        <v>-2</v>
      </c>
      <c r="S7" s="6" t="n">
        <v>0.6</v>
      </c>
      <c r="T7" s="4" t="inlineStr">
        <is>
          <t>%</t>
        </is>
      </c>
    </row>
    <row r="8">
      <c r="A8" s="4" t="inlineStr">
        <is>
          <t>K o n m a</t>
        </is>
      </c>
      <c r="B8" s="5" t="n">
        <v>16</v>
      </c>
      <c r="C8" s="6" t="n">
        <v>0.91</v>
      </c>
      <c r="D8" s="5" t="n">
        <v>2</v>
      </c>
      <c r="E8" s="5" t="n">
        <v>17</v>
      </c>
      <c r="F8" s="6" t="n">
        <v>0.39</v>
      </c>
      <c r="G8" s="5" t="n">
        <v>8</v>
      </c>
      <c r="H8" s="5" t="n">
        <v>-2</v>
      </c>
      <c r="I8" s="6" t="n">
        <v>0.8</v>
      </c>
      <c r="J8" s="7" t="n">
        <v>0.01</v>
      </c>
      <c r="K8" s="5" t="n">
        <v>40</v>
      </c>
      <c r="L8" s="6" t="n">
        <v>0.96</v>
      </c>
      <c r="M8" s="5" t="n">
        <v>51</v>
      </c>
      <c r="N8" s="5" t="n">
        <v>44</v>
      </c>
      <c r="O8" s="6" t="n">
        <v>0.44</v>
      </c>
      <c r="P8" s="5" t="n">
        <v>4</v>
      </c>
      <c r="Q8" s="5" t="n">
        <v>-2</v>
      </c>
      <c r="R8" s="6" t="n">
        <v>0.4</v>
      </c>
      <c r="S8" s="4" t="inlineStr">
        <is>
          <t>%</t>
        </is>
      </c>
    </row>
    <row r="9">
      <c r="A9" s="4" t="inlineStr">
        <is>
          <t>K o lt u k s</t>
        </is>
      </c>
      <c r="B9" s="4" t="inlineStr">
        <is>
          <t>a y ıs ı,</t>
        </is>
      </c>
      <c r="C9" s="4" t="inlineStr">
        <is>
          <t>m n</t>
        </is>
      </c>
      <c r="D9" s="6" t="n">
        <v>3.1</v>
      </c>
      <c r="E9" s="5" t="n">
        <v>5</v>
      </c>
      <c r="F9" s="6" t="n">
        <v>3.2</v>
      </c>
      <c r="G9" s="5" t="n">
        <v>2</v>
      </c>
      <c r="H9" s="5" t="n">
        <v>-2</v>
      </c>
      <c r="I9" s="6" t="n">
        <v>0.3</v>
      </c>
      <c r="J9" s="4" t="inlineStr">
        <is>
          <t>%</t>
        </is>
      </c>
      <c r="K9" s="5" t="n">
        <v>2</v>
      </c>
      <c r="L9" s="5" t="n">
        <v>6</v>
      </c>
      <c r="M9" s="5" t="n">
        <v>8</v>
      </c>
      <c r="N9" s="5" t="n">
        <v>2</v>
      </c>
      <c r="O9" s="6" t="n">
        <v>6.7</v>
      </c>
      <c r="P9" s="5" t="n">
        <v>2</v>
      </c>
      <c r="Q9" s="5" t="n">
        <v>-2</v>
      </c>
      <c r="R9" s="6" t="n">
        <v>0.4</v>
      </c>
      <c r="S9" s="4" t="inlineStr">
        <is>
          <t>%</t>
        </is>
      </c>
    </row>
    <row r="10">
      <c r="A10" s="4" t="inlineStr">
        <is>
          <t>T o p</t>
        </is>
      </c>
      <c r="B10" s="4" t="inlineStr">
        <is>
          <t>l a</t>
        </is>
      </c>
      <c r="C10" s="4" t="inlineStr">
        <is>
          <t>m</t>
        </is>
      </c>
      <c r="D10" s="4" t="inlineStr">
        <is>
          <t>D o l u l u k</t>
        </is>
      </c>
      <c r="E10" s="4" t="inlineStr">
        <is>
          <t>O r a n</t>
        </is>
      </c>
      <c r="F10" s="4" t="inlineStr">
        <is>
          <t>ı</t>
        </is>
      </c>
      <c r="G10" s="5" t="n">
        <v>87</v>
      </c>
      <c r="H10" s="6" t="n">
        <v>0.1</v>
      </c>
      <c r="I10" s="4" t="inlineStr">
        <is>
          <t>%</t>
        </is>
      </c>
      <c r="J10" s="5" t="n">
        <v>85</v>
      </c>
      <c r="K10" s="6" t="n">
        <v>0.7</v>
      </c>
      <c r="L10" s="4" t="inlineStr">
        <is>
          <t>%</t>
        </is>
      </c>
      <c r="M10" s="5" t="n">
        <v>1</v>
      </c>
      <c r="N10" s="6" t="n">
        <v>0.4</v>
      </c>
      <c r="O10" s="4" t="inlineStr">
        <is>
          <t>%</t>
        </is>
      </c>
      <c r="P10" s="5" t="n">
        <v>86</v>
      </c>
      <c r="Q10" s="6" t="n">
        <v>0.1</v>
      </c>
      <c r="R10" s="4" t="inlineStr">
        <is>
          <t>%</t>
        </is>
      </c>
      <c r="S10" s="5" t="n">
        <v>86</v>
      </c>
      <c r="T10" s="6" t="n">
        <v>0.3</v>
      </c>
      <c r="U10" s="4" t="inlineStr">
        <is>
          <t>%</t>
        </is>
      </c>
      <c r="V10" s="5" t="n">
        <v>0</v>
      </c>
      <c r="W10" s="6" t="n">
        <v>0.2</v>
      </c>
      <c r="X10" s="4" t="inlineStr">
        <is>
          <t>%</t>
        </is>
      </c>
      <c r="Y10" s="4" t="inlineStr">
        <is>
          <t>p</t>
        </is>
      </c>
      <c r="Z10" s="4" t="inlineStr">
        <is>
          <t>p</t>
        </is>
      </c>
    </row>
    <row r="11">
      <c r="A11" s="4" t="inlineStr">
        <is>
          <t>A S K ( m</t>
        </is>
      </c>
      <c r="B11" s="4" t="inlineStr">
        <is>
          <t>k m )</t>
        </is>
      </c>
      <c r="C11" s="5" t="n">
        <v>3</v>
      </c>
      <c r="D11" s="6" t="n">
        <v>0.62</v>
      </c>
      <c r="E11" s="5" t="n">
        <v>6</v>
      </c>
      <c r="F11" s="5" t="n">
        <v>3</v>
      </c>
      <c r="G11" s="6" t="n">
        <v>0.37</v>
      </c>
      <c r="H11" s="5" t="n">
        <v>7</v>
      </c>
      <c r="I11" s="5" t="n">
        <v>7</v>
      </c>
      <c r="J11" s="6" t="n">
        <v>0.4</v>
      </c>
      <c r="K11" s="4" t="inlineStr">
        <is>
          <t>%</t>
        </is>
      </c>
      <c r="L11" s="5" t="n">
        <v>28</v>
      </c>
      <c r="M11" s="6" t="n">
        <v>0.98</v>
      </c>
      <c r="N11" s="5" t="n">
        <v>6</v>
      </c>
      <c r="O11" s="5" t="n">
        <v>26</v>
      </c>
      <c r="P11" s="6" t="n">
        <v>0.91</v>
      </c>
      <c r="Q11" s="5" t="n">
        <v>8</v>
      </c>
      <c r="R11" s="5" t="n">
        <v>7</v>
      </c>
      <c r="S11" s="6" t="n">
        <v>0.7</v>
      </c>
      <c r="T11" s="4" t="inlineStr">
        <is>
          <t>%</t>
        </is>
      </c>
    </row>
    <row r="12">
      <c r="A12" s="4" t="inlineStr">
        <is>
          <t>K o n m a</t>
        </is>
      </c>
      <c r="B12" s="4" t="inlineStr">
        <is>
          <t>b a ş ın a</t>
        </is>
      </c>
      <c r="C12" s="4" t="inlineStr">
        <is>
          <t>M i</t>
        </is>
      </c>
      <c r="D12" s="4" t="inlineStr">
        <is>
          <t>s a</t>
        </is>
      </c>
      <c r="E12" s="4" t="inlineStr">
        <is>
          <t>fir</t>
        </is>
      </c>
      <c r="F12" s="5" t="n">
        <v>16</v>
      </c>
      <c r="G12" s="5" t="n">
        <v>2</v>
      </c>
      <c r="H12" s="5" t="n">
        <v>15</v>
      </c>
      <c r="I12" s="5" t="n">
        <v>9</v>
      </c>
      <c r="J12" s="5" t="n">
        <v>2</v>
      </c>
      <c r="K12" s="6" t="n">
        <v>0.1</v>
      </c>
      <c r="L12" s="4" t="inlineStr">
        <is>
          <t>%</t>
        </is>
      </c>
      <c r="M12" s="5" t="n">
        <v>15</v>
      </c>
      <c r="N12" s="5" t="n">
        <v>9</v>
      </c>
      <c r="O12" s="5" t="n">
        <v>16</v>
      </c>
      <c r="P12" s="5" t="n">
        <v>0</v>
      </c>
      <c r="Q12" s="5" t="n">
        <v>0</v>
      </c>
      <c r="R12" s="6" t="n">
        <v>0.2</v>
      </c>
      <c r="S12" s="4" t="inlineStr">
        <is>
          <t>%</t>
        </is>
      </c>
    </row>
    <row r="13">
      <c r="A13" s="4" t="inlineStr">
        <is>
          <t>O r t a la m</t>
        </is>
      </c>
      <c r="B13" s="4" t="inlineStr">
        <is>
          <t>a g ü n l</t>
        </is>
      </c>
      <c r="C13" s="4" t="inlineStr">
        <is>
          <t>ü k</t>
        </is>
      </c>
      <c r="D13" s="4" t="inlineStr">
        <is>
          <t>u ç</t>
        </is>
      </c>
      <c r="E13" s="4" t="inlineStr">
        <is>
          <t>a k k u lla n ım ı ( B lo k S a a t )</t>
        </is>
      </c>
      <c r="F13" s="5" t="n">
        <v>13</v>
      </c>
      <c r="G13" s="5" t="n">
        <v>8</v>
      </c>
      <c r="H13" s="5" t="n">
        <v>13</v>
      </c>
      <c r="I13" s="5" t="n">
        <v>4</v>
      </c>
      <c r="J13" s="5" t="n">
        <v>3</v>
      </c>
      <c r="K13" s="6" t="n">
        <v>0.1</v>
      </c>
      <c r="L13" s="4" t="inlineStr">
        <is>
          <t>%</t>
        </is>
      </c>
      <c r="M13" s="5" t="n">
        <v>13</v>
      </c>
      <c r="N13" s="5" t="n">
        <v>1</v>
      </c>
      <c r="O13" s="5" t="n">
        <v>12</v>
      </c>
      <c r="P13" s="5" t="n">
        <v>9</v>
      </c>
      <c r="Q13" s="5" t="n">
        <v>2</v>
      </c>
      <c r="R13" s="5" t="n">
        <v>0</v>
      </c>
      <c r="S13" s="4" t="inlineStr">
        <is>
          <t>%</t>
        </is>
      </c>
    </row>
    <row r="14">
      <c r="A14" s="4" t="inlineStr">
        <is>
          <t>M i s a f i r</t>
        </is>
      </c>
      <c r="B14" s="4" t="inlineStr">
        <is>
          <t>s a y ı s ı</t>
        </is>
      </c>
      <c r="C14" s="4" t="inlineStr">
        <is>
          <t>, m</t>
        </is>
      </c>
      <c r="D14" s="4" t="inlineStr">
        <is>
          <t>n</t>
        </is>
      </c>
      <c r="E14" s="6" t="n">
        <v>1.3</v>
      </c>
      <c r="F14" s="5" t="n">
        <v>6</v>
      </c>
      <c r="G14" s="6" t="n">
        <v>1.5</v>
      </c>
      <c r="H14" s="4" t="inlineStr">
        <is>
          <t>2 -</t>
        </is>
      </c>
      <c r="I14" s="5" t="n">
        <v>10</v>
      </c>
      <c r="J14" s="6" t="n">
        <v>0.2</v>
      </c>
      <c r="K14" s="4" t="inlineStr">
        <is>
          <t>%</t>
        </is>
      </c>
      <c r="L14" s="5" t="n">
        <v>1</v>
      </c>
      <c r="M14" s="6" t="n">
        <v>1.6</v>
      </c>
      <c r="N14" s="5" t="n">
        <v>8</v>
      </c>
      <c r="O14" s="5" t="n">
        <v>1</v>
      </c>
      <c r="P14" s="6" t="n">
        <v>3.6</v>
      </c>
      <c r="Q14" s="4" t="inlineStr">
        <is>
          <t>8 -</t>
        </is>
      </c>
      <c r="R14" s="5" t="n">
        <v>14</v>
      </c>
      <c r="S14" s="6" t="n">
        <v>0.6</v>
      </c>
      <c r="T14" s="4" t="inlineStr">
        <is>
          <t>%</t>
        </is>
      </c>
    </row>
    <row r="15">
      <c r="A15" s="4" t="inlineStr">
        <is>
          <t>K o n m a</t>
        </is>
      </c>
      <c r="B15" s="5" t="n">
        <v>7</v>
      </c>
      <c r="C15" s="6" t="n">
        <v>0.85</v>
      </c>
      <c r="D15" s="5" t="n">
        <v>5</v>
      </c>
      <c r="E15" s="5" t="n">
        <v>9</v>
      </c>
      <c r="F15" s="6" t="n">
        <v>0.17</v>
      </c>
      <c r="G15" s="4" t="inlineStr">
        <is>
          <t>2 -</t>
        </is>
      </c>
      <c r="H15" s="5" t="n">
        <v>14</v>
      </c>
      <c r="I15" s="6" t="n">
        <v>0.4</v>
      </c>
      <c r="J15" s="4" t="inlineStr">
        <is>
          <t>%</t>
        </is>
      </c>
      <c r="K15" s="5" t="n">
        <v>69</v>
      </c>
      <c r="L15" s="6" t="n">
        <v>0.15</v>
      </c>
      <c r="M15" s="5" t="n">
        <v>9</v>
      </c>
      <c r="N15" s="5" t="n">
        <v>82</v>
      </c>
      <c r="O15" s="6" t="n">
        <v>0.15</v>
      </c>
      <c r="P15" s="4" t="inlineStr">
        <is>
          <t>9 -</t>
        </is>
      </c>
      <c r="Q15" s="5" t="n">
        <v>15</v>
      </c>
      <c r="R15" s="6" t="n">
        <v>0.8</v>
      </c>
      <c r="S15" s="4" t="inlineStr">
        <is>
          <t>%</t>
        </is>
      </c>
    </row>
    <row r="16">
      <c r="A16" s="4" t="inlineStr">
        <is>
          <t>İ ç H</t>
        </is>
      </c>
      <c r="B16" s="4" t="inlineStr">
        <is>
          <t>a t l</t>
        </is>
      </c>
      <c r="C16" s="4" t="inlineStr">
        <is>
          <t>a r</t>
        </is>
      </c>
      <c r="D16" s="4" t="inlineStr">
        <is>
          <t>K o lt u k s</t>
        </is>
      </c>
      <c r="E16" s="4" t="inlineStr">
        <is>
          <t>a y ıs ı,</t>
        </is>
      </c>
      <c r="F16" s="4" t="inlineStr">
        <is>
          <t>m n</t>
        </is>
      </c>
      <c r="G16" s="6" t="n">
        <v>1.4</v>
      </c>
      <c r="H16" s="5" t="n">
        <v>7</v>
      </c>
      <c r="I16" s="6" t="n">
        <v>1.7</v>
      </c>
      <c r="J16" s="4" t="inlineStr">
        <is>
          <t>1 -</t>
        </is>
      </c>
      <c r="K16" s="5" t="n">
        <v>14</v>
      </c>
      <c r="L16" s="5" t="n">
        <v>0</v>
      </c>
      <c r="M16" s="4" t="inlineStr">
        <is>
          <t>%</t>
        </is>
      </c>
      <c r="N16" s="5" t="n">
        <v>1</v>
      </c>
      <c r="O16" s="6" t="n">
        <v>2.9</v>
      </c>
      <c r="P16" s="5" t="n">
        <v>3</v>
      </c>
      <c r="Q16" s="5" t="n">
        <v>1</v>
      </c>
      <c r="R16" s="6" t="n">
        <v>5.3</v>
      </c>
      <c r="S16" s="4" t="inlineStr">
        <is>
          <t>4 -</t>
        </is>
      </c>
      <c r="T16" s="5" t="n">
        <v>15</v>
      </c>
      <c r="U16" s="6" t="n">
        <v>0.7</v>
      </c>
      <c r="V16" s="4" t="inlineStr">
        <is>
          <t>%</t>
        </is>
      </c>
    </row>
    <row r="17">
      <c r="A17" s="4" t="inlineStr">
        <is>
          <t>D o l u l u k</t>
        </is>
      </c>
      <c r="B17" s="4" t="inlineStr">
        <is>
          <t>O r a n</t>
        </is>
      </c>
      <c r="C17" s="4" t="inlineStr">
        <is>
          <t>ı</t>
        </is>
      </c>
      <c r="D17" s="5" t="n">
        <v>92</v>
      </c>
      <c r="E17" s="6" t="n">
        <v>0.5</v>
      </c>
      <c r="F17" s="4" t="inlineStr">
        <is>
          <t>%</t>
        </is>
      </c>
      <c r="G17" s="5" t="n">
        <v>88</v>
      </c>
      <c r="H17" s="6" t="n">
        <v>0.6</v>
      </c>
      <c r="I17" s="4" t="inlineStr">
        <is>
          <t>%</t>
        </is>
      </c>
      <c r="J17" s="5" t="n">
        <v>3</v>
      </c>
      <c r="K17" s="6" t="n">
        <v>0.9</v>
      </c>
      <c r="L17" s="4" t="inlineStr">
        <is>
          <t>%</t>
        </is>
      </c>
      <c r="M17" s="5" t="n">
        <v>90</v>
      </c>
      <c r="N17" s="6" t="n">
        <v>0.4</v>
      </c>
      <c r="O17" s="4" t="inlineStr">
        <is>
          <t>%</t>
        </is>
      </c>
      <c r="P17" s="5" t="n">
        <v>89</v>
      </c>
      <c r="Q17" s="6" t="n">
        <v>0.2</v>
      </c>
      <c r="R17" s="4" t="inlineStr">
        <is>
          <t>%</t>
        </is>
      </c>
      <c r="S17" s="5" t="n">
        <v>1</v>
      </c>
      <c r="T17" s="6" t="n">
        <v>0.2</v>
      </c>
      <c r="U17" s="4" t="inlineStr">
        <is>
          <t>%</t>
        </is>
      </c>
      <c r="V17" s="4" t="inlineStr">
        <is>
          <t>p</t>
        </is>
      </c>
      <c r="W17" s="4" t="inlineStr">
        <is>
          <t>p</t>
        </is>
      </c>
    </row>
    <row r="18">
      <c r="A18" s="4" t="inlineStr">
        <is>
          <t>A S K ( m</t>
        </is>
      </c>
      <c r="B18" s="4" t="inlineStr">
        <is>
          <t>k m )</t>
        </is>
      </c>
      <c r="C18" s="5" t="n">
        <v>85</v>
      </c>
      <c r="D18" s="5" t="n">
        <v>8</v>
      </c>
      <c r="E18" s="5" t="n">
        <v>1</v>
      </c>
      <c r="F18" s="6" t="n">
        <v>0.02</v>
      </c>
      <c r="G18" s="4" t="inlineStr">
        <is>
          <t>5 -</t>
        </is>
      </c>
      <c r="H18" s="5" t="n">
        <v>16</v>
      </c>
      <c r="I18" s="6" t="n">
        <v>0.2</v>
      </c>
      <c r="J18" s="4" t="inlineStr">
        <is>
          <t>%</t>
        </is>
      </c>
      <c r="K18" s="5" t="n">
        <v>7</v>
      </c>
      <c r="L18" s="6" t="n">
        <v>0.65</v>
      </c>
      <c r="M18" s="5" t="n">
        <v>9</v>
      </c>
      <c r="N18" s="5" t="n">
        <v>9</v>
      </c>
      <c r="O18" s="6" t="n">
        <v>0.25</v>
      </c>
      <c r="P18" s="4" t="inlineStr">
        <is>
          <t>7 -</t>
        </is>
      </c>
      <c r="Q18" s="5" t="n">
        <v>17</v>
      </c>
      <c r="R18" s="6" t="n">
        <v>0.3</v>
      </c>
      <c r="S18" s="4" t="inlineStr">
        <is>
          <t>%</t>
        </is>
      </c>
    </row>
    <row r="19">
      <c r="A19" s="4" t="inlineStr">
        <is>
          <t>K o n m a</t>
        </is>
      </c>
      <c r="B19" s="4" t="inlineStr">
        <is>
          <t>b a ş ın a</t>
        </is>
      </c>
      <c r="C19" s="4" t="inlineStr">
        <is>
          <t>M i</t>
        </is>
      </c>
      <c r="D19" s="4" t="inlineStr">
        <is>
          <t>s a</t>
        </is>
      </c>
      <c r="E19" s="4" t="inlineStr">
        <is>
          <t>fir</t>
        </is>
      </c>
      <c r="F19" s="5" t="n">
        <v>17</v>
      </c>
      <c r="G19" s="5" t="n">
        <v>3</v>
      </c>
      <c r="H19" s="5" t="n">
        <v>16</v>
      </c>
      <c r="I19" s="5" t="n">
        <v>5</v>
      </c>
      <c r="J19" s="5" t="n">
        <v>4</v>
      </c>
      <c r="K19" s="6" t="n">
        <v>0.9</v>
      </c>
      <c r="L19" s="4" t="inlineStr">
        <is>
          <t>%</t>
        </is>
      </c>
      <c r="M19" s="5" t="n">
        <v>16</v>
      </c>
      <c r="N19" s="5" t="n">
        <v>9</v>
      </c>
      <c r="O19" s="5" t="n">
        <v>16</v>
      </c>
      <c r="P19" s="5" t="n">
        <v>7</v>
      </c>
      <c r="Q19" s="5" t="n">
        <v>1</v>
      </c>
      <c r="R19" s="6" t="n">
        <v>0.4</v>
      </c>
      <c r="S19" s="4" t="inlineStr">
        <is>
          <t>%</t>
        </is>
      </c>
    </row>
    <row r="20">
      <c r="A20" s="4" t="inlineStr">
        <is>
          <t>M i s a f i r</t>
        </is>
      </c>
      <c r="B20" s="4" t="inlineStr">
        <is>
          <t>s a y ı s ı</t>
        </is>
      </c>
      <c r="C20" s="4" t="inlineStr">
        <is>
          <t>, m</t>
        </is>
      </c>
      <c r="D20" s="4" t="inlineStr">
        <is>
          <t>n</t>
        </is>
      </c>
      <c r="E20" s="6" t="n">
        <v>1.3</v>
      </c>
      <c r="F20" s="5" t="n">
        <v>0</v>
      </c>
      <c r="G20" s="6" t="n">
        <v>1.1</v>
      </c>
      <c r="H20" s="5" t="n">
        <v>6</v>
      </c>
      <c r="I20" s="5" t="n">
        <v>12</v>
      </c>
      <c r="J20" s="5" t="n">
        <v>0</v>
      </c>
      <c r="K20" s="4" t="inlineStr">
        <is>
          <t>%</t>
        </is>
      </c>
      <c r="L20" s="5" t="n">
        <v>1</v>
      </c>
      <c r="M20" s="6" t="n">
        <v>0.3</v>
      </c>
      <c r="N20" s="5" t="n">
        <v>3</v>
      </c>
      <c r="O20" s="6" t="n">
        <v>8.800000000000001</v>
      </c>
      <c r="P20" s="5" t="n">
        <v>3</v>
      </c>
      <c r="Q20" s="5" t="n">
        <v>16</v>
      </c>
      <c r="R20" s="6" t="n">
        <v>0.9</v>
      </c>
      <c r="S20" s="4" t="inlineStr">
        <is>
          <t>%</t>
        </is>
      </c>
    </row>
    <row r="21">
      <c r="A21" s="4" t="inlineStr">
        <is>
          <t>P e g a</t>
        </is>
      </c>
      <c r="B21" s="4" t="inlineStr">
        <is>
          <t>s u s</t>
        </is>
      </c>
      <c r="C21" s="6" t="n">
        <v>1.2</v>
      </c>
      <c r="D21" s="5" t="n">
        <v>8</v>
      </c>
      <c r="E21" s="6" t="n">
        <v>1.1</v>
      </c>
      <c r="F21" s="5" t="n">
        <v>2</v>
      </c>
      <c r="G21" s="5" t="n">
        <v>13</v>
      </c>
      <c r="H21" s="6" t="n">
        <v>0.9</v>
      </c>
      <c r="I21" s="4" t="inlineStr">
        <is>
          <t>%</t>
        </is>
      </c>
      <c r="J21" s="5" t="n">
        <v>1</v>
      </c>
      <c r="K21" s="6" t="n">
        <v>0.1</v>
      </c>
      <c r="L21" s="5" t="n">
        <v>0</v>
      </c>
      <c r="M21" s="6" t="n">
        <v>8.4</v>
      </c>
      <c r="N21" s="5" t="n">
        <v>5</v>
      </c>
      <c r="O21" s="5" t="n">
        <v>19</v>
      </c>
      <c r="P21" s="6" t="n">
        <v>0.5</v>
      </c>
      <c r="Q21" s="4" t="inlineStr">
        <is>
          <t>%</t>
        </is>
      </c>
    </row>
    <row r="22">
      <c r="A22" s="4" t="inlineStr">
        <is>
          <t>A ir M</t>
        </is>
      </c>
      <c r="B22" s="4" t="inlineStr">
        <is>
          <t>a n a s</t>
        </is>
      </c>
      <c r="C22" s="5" t="n">
        <v>0</v>
      </c>
      <c r="D22" s="5" t="n">
        <v>3</v>
      </c>
      <c r="E22" s="5" t="n">
        <v>0</v>
      </c>
      <c r="F22" s="4" t="inlineStr">
        <is>
          <t>4 -</t>
        </is>
      </c>
      <c r="G22" s="5" t="n">
        <v>39</v>
      </c>
      <c r="H22" s="6" t="n">
        <v>0.8</v>
      </c>
      <c r="I22" s="4" t="inlineStr">
        <is>
          <t>%</t>
        </is>
      </c>
      <c r="J22" s="6" t="n">
        <v>0.2</v>
      </c>
      <c r="K22" s="5" t="n">
        <v>3</v>
      </c>
      <c r="L22" s="6" t="n">
        <v>0.3</v>
      </c>
      <c r="M22" s="4" t="inlineStr">
        <is>
          <t>8 -</t>
        </is>
      </c>
      <c r="N22" s="5" t="n">
        <v>39</v>
      </c>
      <c r="O22" s="6" t="n">
        <v>0.1</v>
      </c>
      <c r="P22" s="4" t="inlineStr">
        <is>
          <t>%</t>
        </is>
      </c>
    </row>
    <row r="23">
      <c r="A23" s="4" t="inlineStr">
        <is>
          <t>D ı ş</t>
        </is>
      </c>
      <c r="B23" s="4" t="inlineStr">
        <is>
          <t>H a</t>
        </is>
      </c>
      <c r="C23" s="4" t="inlineStr">
        <is>
          <t>t l a r</t>
        </is>
      </c>
      <c r="D23" s="4" t="inlineStr">
        <is>
          <t>K o n m a</t>
        </is>
      </c>
      <c r="E23" s="5" t="n">
        <v>8</v>
      </c>
      <c r="F23" s="6" t="n">
        <v>0.54</v>
      </c>
      <c r="G23" s="5" t="n">
        <v>6</v>
      </c>
      <c r="H23" s="5" t="n">
        <v>7</v>
      </c>
      <c r="I23" s="6" t="n">
        <v>0.72</v>
      </c>
      <c r="J23" s="5" t="n">
        <v>7</v>
      </c>
      <c r="K23" s="5" t="n">
        <v>10</v>
      </c>
      <c r="L23" s="6" t="n">
        <v>0.6</v>
      </c>
      <c r="M23" s="4" t="inlineStr">
        <is>
          <t>%</t>
        </is>
      </c>
      <c r="N23" s="5" t="n">
        <v>68</v>
      </c>
      <c r="O23" s="6" t="n">
        <v>0.9</v>
      </c>
      <c r="P23" s="5" t="n">
        <v>2</v>
      </c>
      <c r="Q23" s="5" t="n">
        <v>58</v>
      </c>
      <c r="R23" s="6" t="n">
        <v>0.84</v>
      </c>
      <c r="S23" s="5" t="n">
        <v>2</v>
      </c>
      <c r="T23" s="5" t="n">
        <v>17</v>
      </c>
      <c r="U23" s="6" t="n">
        <v>0.1</v>
      </c>
      <c r="V23" s="4" t="inlineStr">
        <is>
          <t>%</t>
        </is>
      </c>
    </row>
    <row r="24">
      <c r="A24" s="4" t="inlineStr">
        <is>
          <t>K o lt u k s</t>
        </is>
      </c>
      <c r="B24" s="4" t="inlineStr">
        <is>
          <t>a y ıs ı,</t>
        </is>
      </c>
      <c r="C24" s="4" t="inlineStr">
        <is>
          <t>m n</t>
        </is>
      </c>
      <c r="D24" s="6" t="n">
        <v>1.5</v>
      </c>
      <c r="E24" s="5" t="n">
        <v>8</v>
      </c>
      <c r="F24" s="6" t="n">
        <v>1.4</v>
      </c>
      <c r="G24" s="5" t="n">
        <v>2</v>
      </c>
      <c r="H24" s="5" t="n">
        <v>11</v>
      </c>
      <c r="I24" s="6" t="n">
        <v>0.4</v>
      </c>
      <c r="J24" s="4" t="inlineStr">
        <is>
          <t>%</t>
        </is>
      </c>
      <c r="K24" s="5" t="n">
        <v>1</v>
      </c>
      <c r="L24" s="6" t="n">
        <v>2.6</v>
      </c>
      <c r="M24" s="5" t="n">
        <v>5</v>
      </c>
      <c r="N24" s="5" t="n">
        <v>1</v>
      </c>
      <c r="O24" s="6" t="n">
        <v>0.7</v>
      </c>
      <c r="P24" s="5" t="n">
        <v>8</v>
      </c>
      <c r="Q24" s="5" t="n">
        <v>17</v>
      </c>
      <c r="R24" s="6" t="n">
        <v>0.3</v>
      </c>
      <c r="S24" s="4" t="inlineStr">
        <is>
          <t>%</t>
        </is>
      </c>
    </row>
    <row r="25">
      <c r="A25" s="4" t="inlineStr">
        <is>
          <t>D o l u l u k</t>
        </is>
      </c>
      <c r="B25" s="4" t="inlineStr">
        <is>
          <t>O r a n</t>
        </is>
      </c>
      <c r="C25" s="4" t="inlineStr">
        <is>
          <t>ı</t>
        </is>
      </c>
      <c r="D25" s="5" t="n">
        <v>82</v>
      </c>
      <c r="E25" s="6" t="n">
        <v>0.4</v>
      </c>
      <c r="F25" s="4" t="inlineStr">
        <is>
          <t>%</t>
        </is>
      </c>
      <c r="G25" s="5" t="n">
        <v>82</v>
      </c>
      <c r="H25" s="5" t="n">
        <v>0</v>
      </c>
      <c r="I25" s="4" t="inlineStr">
        <is>
          <t>%</t>
        </is>
      </c>
      <c r="J25" s="5" t="n">
        <v>0</v>
      </c>
      <c r="K25" s="6" t="n">
        <v>0.5</v>
      </c>
      <c r="L25" s="4" t="inlineStr">
        <is>
          <t>%</t>
        </is>
      </c>
      <c r="M25" s="5" t="n">
        <v>81</v>
      </c>
      <c r="N25" s="6" t="n">
        <v>0.7</v>
      </c>
      <c r="O25" s="4" t="inlineStr">
        <is>
          <t>%</t>
        </is>
      </c>
      <c r="P25" s="5" t="n">
        <v>81</v>
      </c>
      <c r="Q25" s="6" t="n">
        <v>0.9</v>
      </c>
      <c r="R25" s="4" t="inlineStr">
        <is>
          <t>%</t>
        </is>
      </c>
      <c r="S25" s="5" t="n">
        <v>0</v>
      </c>
      <c r="T25" s="6" t="n">
        <v>0.3</v>
      </c>
      <c r="U25" s="4" t="inlineStr">
        <is>
          <t>%</t>
        </is>
      </c>
      <c r="V25" s="4" t="inlineStr">
        <is>
          <t>p</t>
        </is>
      </c>
      <c r="W25" s="4" t="inlineStr">
        <is>
          <t>p</t>
        </is>
      </c>
    </row>
    <row r="26">
      <c r="A26" s="4" t="inlineStr">
        <is>
          <t>A S K ( m</t>
        </is>
      </c>
      <c r="B26" s="4" t="inlineStr">
        <is>
          <t>k m )</t>
        </is>
      </c>
      <c r="C26" s="5" t="n">
        <v>2</v>
      </c>
      <c r="D26" s="6" t="n">
        <v>0.61</v>
      </c>
      <c r="E26" s="5" t="n">
        <v>8</v>
      </c>
      <c r="F26" s="5" t="n">
        <v>2</v>
      </c>
      <c r="G26" s="6" t="n">
        <v>0.17</v>
      </c>
      <c r="H26" s="5" t="n">
        <v>1</v>
      </c>
      <c r="I26" s="5" t="n">
        <v>20</v>
      </c>
      <c r="J26" s="6" t="n">
        <v>0.6</v>
      </c>
      <c r="K26" s="4" t="inlineStr">
        <is>
          <t>%</t>
        </is>
      </c>
      <c r="L26" s="5" t="n">
        <v>20</v>
      </c>
      <c r="M26" s="6" t="n">
        <v>0.52</v>
      </c>
      <c r="N26" s="5" t="n">
        <v>0</v>
      </c>
      <c r="O26" s="5" t="n">
        <v>16</v>
      </c>
      <c r="P26" s="6" t="n">
        <v>0.57</v>
      </c>
      <c r="Q26" s="5" t="n">
        <v>9</v>
      </c>
      <c r="R26" s="5" t="n">
        <v>23</v>
      </c>
      <c r="S26" s="6" t="n">
        <v>0.8</v>
      </c>
      <c r="T26" s="4" t="inlineStr">
        <is>
          <t>%</t>
        </is>
      </c>
    </row>
    <row r="27">
      <c r="A27" s="4" t="inlineStr">
        <is>
          <t>K o n m a</t>
        </is>
      </c>
      <c r="B27" s="4" t="inlineStr">
        <is>
          <t>b a ş ın a</t>
        </is>
      </c>
      <c r="C27" s="4" t="inlineStr">
        <is>
          <t>M i</t>
        </is>
      </c>
      <c r="D27" s="4" t="inlineStr">
        <is>
          <t>s a</t>
        </is>
      </c>
      <c r="E27" s="4" t="inlineStr">
        <is>
          <t>fir</t>
        </is>
      </c>
      <c r="F27" s="5" t="n">
        <v>15</v>
      </c>
      <c r="G27" s="5" t="n">
        <v>3</v>
      </c>
      <c r="H27" s="5" t="n">
        <v>15</v>
      </c>
      <c r="I27" s="5" t="n">
        <v>1</v>
      </c>
      <c r="J27" s="5" t="n">
        <v>1</v>
      </c>
      <c r="K27" s="6" t="n">
        <v>0.3</v>
      </c>
      <c r="L27" s="4" t="inlineStr">
        <is>
          <t>%</t>
        </is>
      </c>
      <c r="M27" s="5" t="n">
        <v>15</v>
      </c>
      <c r="N27" s="5" t="n">
        <v>0</v>
      </c>
      <c r="O27" s="5" t="n">
        <v>15</v>
      </c>
      <c r="P27" s="5" t="n">
        <v>0</v>
      </c>
      <c r="Q27" s="5" t="n">
        <v>0</v>
      </c>
      <c r="R27" s="6" t="n">
        <v>0.1</v>
      </c>
      <c r="S27" s="4" t="inlineStr">
        <is>
          <t>%</t>
        </is>
      </c>
    </row>
    <row r="28">
      <c r="A28" s="4" t="inlineStr">
        <is>
          <t>M i s a f i r</t>
        </is>
      </c>
      <c r="B28" s="4" t="inlineStr">
        <is>
          <t>s a y ıs ı,</t>
        </is>
      </c>
      <c r="C28" s="4" t="inlineStr">
        <is>
          <t>m</t>
        </is>
      </c>
      <c r="D28" s="4" t="inlineStr">
        <is>
          <t>n</t>
        </is>
      </c>
      <c r="E28" s="5" t="n">
        <v>0</v>
      </c>
      <c r="F28" s="5" t="n">
        <v>8</v>
      </c>
      <c r="G28" s="5" t="n">
        <v>0</v>
      </c>
      <c r="H28" s="5" t="n">
        <v>8</v>
      </c>
      <c r="I28" s="5" t="n">
        <v>-6</v>
      </c>
      <c r="J28" s="6" t="n">
        <v>0.7</v>
      </c>
      <c r="K28" s="4" t="inlineStr">
        <is>
          <t>%</t>
        </is>
      </c>
      <c r="L28" s="6" t="n">
        <v>0.4</v>
      </c>
      <c r="M28" s="5" t="n">
        <v>4</v>
      </c>
      <c r="N28" s="6" t="n">
        <v>0.5</v>
      </c>
      <c r="O28" s="4" t="inlineStr">
        <is>
          <t>4 -</t>
        </is>
      </c>
      <c r="P28" s="5" t="n">
        <v>19</v>
      </c>
      <c r="Q28" s="6" t="n">
        <v>0.2</v>
      </c>
      <c r="R28" s="4" t="inlineStr">
        <is>
          <t>%</t>
        </is>
      </c>
    </row>
    <row r="29">
      <c r="A29" s="4" t="inlineStr">
        <is>
          <t>K o n m a</t>
        </is>
      </c>
      <c r="B29" s="5" t="n">
        <v>51</v>
      </c>
      <c r="C29" s="5" t="n">
        <v>1</v>
      </c>
      <c r="D29" s="5" t="n">
        <v>49</v>
      </c>
      <c r="E29" s="5" t="n">
        <v>9</v>
      </c>
      <c r="F29" s="5" t="n">
        <v>2</v>
      </c>
      <c r="G29" s="6" t="n">
        <v>0.4</v>
      </c>
      <c r="H29" s="4" t="inlineStr">
        <is>
          <t>%</t>
        </is>
      </c>
      <c r="I29" s="5" t="n">
        <v>2</v>
      </c>
      <c r="J29" s="6" t="n">
        <v>0.9</v>
      </c>
      <c r="K29" s="5" t="n">
        <v>4</v>
      </c>
      <c r="L29" s="5" t="n">
        <v>3</v>
      </c>
      <c r="M29" s="6" t="n">
        <v>0.44</v>
      </c>
      <c r="N29" s="4" t="inlineStr">
        <is>
          <t>3 -</t>
        </is>
      </c>
      <c r="O29" s="5" t="n">
        <v>15</v>
      </c>
      <c r="P29" s="6" t="n">
        <v>0.7</v>
      </c>
      <c r="Q29" s="4" t="inlineStr">
        <is>
          <t>%</t>
        </is>
      </c>
    </row>
    <row r="30">
      <c r="A30" s="4" t="inlineStr">
        <is>
          <t>C h a</t>
        </is>
      </c>
      <c r="B30" s="4" t="inlineStr">
        <is>
          <t>r t e</t>
        </is>
      </c>
      <c r="C30" s="4" t="inlineStr">
        <is>
          <t>r</t>
        </is>
      </c>
    </row>
    <row r="31">
      <c r="A31" s="4" t="inlineStr">
        <is>
          <t>K o l t u k</t>
        </is>
      </c>
      <c r="B31" s="4" t="inlineStr">
        <is>
          <t>s a y ıs ı,</t>
        </is>
      </c>
      <c r="C31" s="4" t="inlineStr">
        <is>
          <t>m n</t>
        </is>
      </c>
      <c r="D31" s="5" t="n">
        <v>0</v>
      </c>
      <c r="E31" s="5" t="n">
        <v>9</v>
      </c>
      <c r="F31" s="5" t="n">
        <v>0</v>
      </c>
      <c r="G31" s="5" t="n">
        <v>9</v>
      </c>
      <c r="H31" s="5" t="n">
        <v>2</v>
      </c>
      <c r="I31" s="6" t="n">
        <v>0.6</v>
      </c>
      <c r="J31" s="4" t="inlineStr">
        <is>
          <t>%</t>
        </is>
      </c>
      <c r="K31" s="6" t="n">
        <v>0.5</v>
      </c>
      <c r="L31" s="5" t="n">
        <v>1</v>
      </c>
      <c r="M31" s="6" t="n">
        <v>0.6</v>
      </c>
      <c r="N31" s="4" t="inlineStr">
        <is>
          <t>0 -</t>
        </is>
      </c>
      <c r="O31" s="5" t="n">
        <v>16</v>
      </c>
      <c r="P31" s="6" t="n">
        <v>0.1</v>
      </c>
      <c r="Q31" s="4" t="inlineStr">
        <is>
          <t>%</t>
        </is>
      </c>
    </row>
    <row r="32">
      <c r="A32" s="4" t="inlineStr">
        <is>
          <t>A S K ( m</t>
        </is>
      </c>
      <c r="B32" s="4" t="inlineStr">
        <is>
          <t>k m )</t>
        </is>
      </c>
      <c r="C32" s="5" t="n">
        <v>15</v>
      </c>
      <c r="D32" s="5" t="n">
        <v>0</v>
      </c>
      <c r="E32" s="5" t="n">
        <v>18</v>
      </c>
      <c r="F32" s="4" t="inlineStr">
        <is>
          <t>1 -</t>
        </is>
      </c>
      <c r="G32" s="5" t="n">
        <v>17</v>
      </c>
      <c r="H32" s="6" t="n">
        <v>0.2</v>
      </c>
      <c r="I32" s="4" t="inlineStr">
        <is>
          <t>%</t>
        </is>
      </c>
      <c r="J32" s="5" t="n">
        <v>80</v>
      </c>
      <c r="K32" s="5" t="n">
        <v>7</v>
      </c>
      <c r="L32" s="5" t="n">
        <v>1</v>
      </c>
      <c r="M32" s="6" t="n">
        <v>0.08</v>
      </c>
      <c r="N32" s="4" t="inlineStr">
        <is>
          <t>2 -</t>
        </is>
      </c>
      <c r="O32" s="5" t="n">
        <v>25</v>
      </c>
      <c r="P32" s="6" t="n">
        <v>0.4</v>
      </c>
      <c r="Q32" s="4"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Ekim</t>
        </is>
      </c>
      <c r="B1" s="4" t="inlineStr">
        <is>
          <t>Ekim</t>
        </is>
      </c>
      <c r="C1" s="4" t="inlineStr">
        <is>
          <t>2019 vs</t>
        </is>
      </c>
      <c r="D1" s="4" t="inlineStr">
        <is>
          <t>Ocak-Ekim</t>
        </is>
      </c>
      <c r="E1" s="4" t="inlineStr">
        <is>
          <t>Ocak-Ekim</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mn
Konma
Koltuk sayısı, mn
Doluluk Oranı
ASK (m km)
Konma başına Misafir
Ortalama günlük uçak kullanımı (Blok Saat)</t>
        </is>
      </c>
      <c r="C3" s="4" t="inlineStr">
        <is>
          <t>2.65
16,516
3.07
86.3%
3,554
161
13.3</t>
        </is>
      </c>
      <c r="D3" s="4" t="inlineStr">
        <is>
          <t>2.52
16,152
2.99
84.2%
3,163
156
12.6</t>
        </is>
      </c>
      <c r="E3" s="4" t="inlineStr">
        <is>
          <t>5.3%
2.3%
2.7%
2.1%
12.4%
3.0%
5.1%</t>
        </is>
      </c>
      <c r="F3" s="4" t="inlineStr">
        <is>
          <t>25.10
157,481
29.16
86.1%
32,540
159
13.1</t>
        </is>
      </c>
      <c r="G3" s="4" t="inlineStr">
        <is>
          <t>25.58
160,596
29.72
86.1%
30,081
159
12.8</t>
        </is>
      </c>
      <c r="H3" s="4" t="inlineStr">
        <is>
          <t>-1.8%
-1.9%
-1.9%
0.0%
8.2%
0.1%
2.4%</t>
        </is>
      </c>
    </row>
    <row r="4">
      <c r="A4" s="4" t="inlineStr">
        <is>
          <t>İç Hatlar</t>
        </is>
      </c>
      <c r="B4" s="4" t="inlineStr">
        <is>
          <t>Misafir sayısı, mn
Konma
Koltuk sayısı, mn
Doluluk Oranı
ASK (m km)
Konma başına Misafir</t>
        </is>
      </c>
      <c r="C4" s="4" t="inlineStr">
        <is>
          <t>1.33
7,769
1.46
90.8%
861
171</t>
        </is>
      </c>
      <c r="D4" s="4" t="inlineStr">
        <is>
          <t>1.40
8,737
1.63
86.1%
979
161</t>
        </is>
      </c>
      <c r="E4" s="4" t="inlineStr">
        <is>
          <t>-5.3%
-11.1%
-10.3%
4.8%
-12.1%
6.5%</t>
        </is>
      </c>
      <c r="F4" s="4" t="inlineStr">
        <is>
          <t>13.01
76,928
14.39
90.4%
8,520
169</t>
        </is>
      </c>
      <c r="G4" s="4" t="inlineStr">
        <is>
          <t>15.09
90,896
16.97
88.9%
10,237
166</t>
        </is>
      </c>
      <c r="H4" s="4" t="inlineStr">
        <is>
          <t>-13.7%
-15.4%
-15.2%
1.5%
-16.8%
1.9%</t>
        </is>
      </c>
    </row>
    <row r="5">
      <c r="A5" s="4" t="inlineStr">
        <is>
          <t>Dış Hatlar</t>
        </is>
      </c>
      <c r="B5" s="4" t="inlineStr">
        <is>
          <t>Misafir sayısı, mn
Pegasus
Air Manas
Konma
Koltuk sayısı, mn
Doluluk Oranı
ASK (m km)
Konma başına Misafir</t>
        </is>
      </c>
      <c r="C5" s="4" t="inlineStr">
        <is>
          <t>1.28
1.26
0.02
8,436
1.56
81.9%
2,583
151</t>
        </is>
      </c>
      <c r="D5" s="4" t="inlineStr">
        <is>
          <t>1.09
1.05
0.03
7,219
1.33
81.8%
2,106
150</t>
        </is>
      </c>
      <c r="E5" s="4" t="inlineStr">
        <is>
          <t>17.5%
19.1%
-37.5%
16.9%
17.4%
0.1%
22.6%
0.5%</t>
        </is>
      </c>
      <c r="F5" s="4" t="inlineStr">
        <is>
          <t>11.60
11.35
0.25
77,338
14.20
81.7%
23,103
150</t>
        </is>
      </c>
      <c r="G5" s="4" t="inlineStr">
        <is>
          <t>9.92
9.51
0.41
66,061
12.10
81.9%
18,686
150</t>
        </is>
      </c>
      <c r="H5" s="4" t="inlineStr">
        <is>
          <t>17.0%
19.4%
-39.0%
17.1%
17.3%
-0.2%
23.6%
-0.1%</t>
        </is>
      </c>
    </row>
    <row r="6">
      <c r="A6" s="4" t="inlineStr">
        <is>
          <t>Charter</t>
        </is>
      </c>
      <c r="B6" s="4" t="inlineStr">
        <is>
          <t>Misafir sayısı, mn
Konma
Koltuk sayısı, mn
ASK (m km)</t>
        </is>
      </c>
      <c r="C6" s="4" t="inlineStr">
        <is>
          <t>0.05
311
0.05
109</t>
        </is>
      </c>
      <c r="D6" s="4" t="inlineStr">
        <is>
          <t>0.03
196
0.04
77</t>
        </is>
      </c>
      <c r="E6" s="4" t="inlineStr">
        <is>
          <t>62.2%
58.7%
54.5%
41.4%</t>
        </is>
      </c>
      <c r="F6" s="4" t="inlineStr">
        <is>
          <t>0.49
3,215
0.56
917</t>
        </is>
      </c>
      <c r="G6" s="4" t="inlineStr">
        <is>
          <t>0.57
3,639
0.64
1,159</t>
        </is>
      </c>
      <c r="H6" s="4" t="inlineStr">
        <is>
          <t>-14.8%
-11.7%
-12.2%
-20.9%</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3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Kasım</t>
        </is>
      </c>
      <c r="B1" s="4" t="inlineStr">
        <is>
          <t>Kasım</t>
        </is>
      </c>
      <c r="C1" s="4" t="inlineStr">
        <is>
          <t>2019 vs</t>
        </is>
      </c>
      <c r="D1" s="4" t="inlineStr">
        <is>
          <t>Ocak-Kasım</t>
        </is>
      </c>
      <c r="E1" s="4" t="inlineStr">
        <is>
          <t>Ocak-Kasım</t>
        </is>
      </c>
      <c r="F1" s="4" t="inlineStr">
        <is>
          <t>2019 vs</t>
        </is>
      </c>
    </row>
    <row r="2">
      <c r="A2" s="3" t="inlineStr">
        <is>
          <t>2019</t>
        </is>
      </c>
      <c r="B2" s="3" t="inlineStr">
        <is>
          <t>2018</t>
        </is>
      </c>
      <c r="C2" s="3" t="inlineStr">
        <is>
          <t>2018</t>
        </is>
      </c>
      <c r="D2" s="3" t="inlineStr">
        <is>
          <t>2019</t>
        </is>
      </c>
      <c r="E2" s="3" t="inlineStr">
        <is>
          <t>2018</t>
        </is>
      </c>
      <c r="F2" s="3" t="inlineStr">
        <is>
          <t>2018</t>
        </is>
      </c>
    </row>
    <row r="3">
      <c r="A3" s="4" t="inlineStr">
        <is>
          <t>Toplam</t>
        </is>
      </c>
      <c r="B3" s="4" t="inlineStr">
        <is>
          <t>Misafir sayısı, mn
Konma
Koltuk sayısı, mn
Doluluk Oranı
ASK (m km)
Konma başına Misafir
Ortalama günlük uçak kullanımı (Blok Saat)</t>
        </is>
      </c>
      <c r="C3" s="4" t="inlineStr">
        <is>
          <t>2.38
14,775
2.76
86.2%
2,944
161
12.0</t>
        </is>
      </c>
      <c r="D3" s="4" t="inlineStr">
        <is>
          <t>2.20
14,211
2.63
83.7%
2,641
155
11.3</t>
        </is>
      </c>
      <c r="E3" s="4" t="inlineStr">
        <is>
          <t>7.9%
4.0%
4.7%
2.5%
11.5%
3.8%
6.1%</t>
        </is>
      </c>
      <c r="F3" s="4" t="inlineStr">
        <is>
          <t>27.46
172,123
31.89
86.1%
35,477
160
13.1</t>
        </is>
      </c>
      <c r="G3" s="4" t="inlineStr">
        <is>
          <t>27.78
174,807
32.35
85.9%
32,722
159
12.7</t>
        </is>
      </c>
      <c r="H3" s="4" t="inlineStr">
        <is>
          <t>-1.1%
-1.5%
-1.4%
0.2%
8.4%
0.4%
2.9%</t>
        </is>
      </c>
    </row>
    <row r="4">
      <c r="A4" s="4" t="inlineStr">
        <is>
          <t>İç Hatlar</t>
        </is>
      </c>
      <c r="B4" s="4" t="inlineStr">
        <is>
          <t>Misafir sayısı, mn
Konma
Koltuk sayısı, mn
Doluluk Oranı
ASK (m km)
Konma başına Misafir</t>
        </is>
      </c>
      <c r="C4" s="4" t="inlineStr">
        <is>
          <t>1.34
8,099
1.52
88.2%
922
166</t>
        </is>
      </c>
      <c r="D4" s="4" t="inlineStr">
        <is>
          <t>1.32
8,142
1.52
86.5%
922
162</t>
        </is>
      </c>
      <c r="E4" s="4" t="inlineStr">
        <is>
          <t>1.9%
-0.5%
0.0%
1.6%
-0.1%
2.4%</t>
        </is>
      </c>
      <c r="F4" s="4" t="inlineStr">
        <is>
          <t>14.36
85,027
15.92
90.2%
9,442
169</t>
        </is>
      </c>
      <c r="G4" s="4" t="inlineStr">
        <is>
          <t>16.40
99,038
18.50
88.7%
11,159
166</t>
        </is>
      </c>
      <c r="H4" s="4" t="inlineStr">
        <is>
          <t>-12.5%
-14.1%
-13.9%
1.5%
-15.4%
1.9%</t>
        </is>
      </c>
    </row>
    <row r="5">
      <c r="A5" s="4" t="inlineStr">
        <is>
          <t>Dış Hatlar</t>
        </is>
      </c>
      <c r="B5" s="4" t="inlineStr">
        <is>
          <t>Misafir sayısı, mn
Pegasus
Air Manas
Konma
Koltuk sayısı, mn
Doluluk Oranı
ASK (m km)
Konma başına Misafir</t>
        </is>
      </c>
      <c r="C5" s="4" t="inlineStr">
        <is>
          <t>1.03
1.03
0.00
6,647
1.23
83.8%
2,018
155</t>
        </is>
      </c>
      <c r="D5" s="4" t="inlineStr">
        <is>
          <t>0.88
0.86
0.03
6,041
1.11
79.7%
1,715
146</t>
        </is>
      </c>
      <c r="E5" s="4" t="inlineStr">
        <is>
          <t>16.8%
20.4%
-100.0%
10.0%
11.1%
4.1%
17.7%
6.2%</t>
        </is>
      </c>
      <c r="F5" s="4" t="inlineStr">
        <is>
          <t>12.61
12.38
0.23
83,852
15.41
81.9%
25,114
150</t>
        </is>
      </c>
      <c r="G5" s="4" t="inlineStr">
        <is>
          <t>10.80
10.36
0.44
72,102
13.21
81.7%
20,400
150</t>
        </is>
      </c>
      <c r="H5" s="4" t="inlineStr">
        <is>
          <t>16.8%
19.5%
-47.2%
16.3%
16.6%
0.1%
23.1%
0.4%</t>
        </is>
      </c>
    </row>
    <row r="6">
      <c r="A6" s="4" t="inlineStr">
        <is>
          <t>Charter</t>
        </is>
      </c>
      <c r="B6" s="4" t="inlineStr">
        <is>
          <t>Misafir sayısı, mn
Konma
Koltuk sayısı, mn
ASK (m km)</t>
        </is>
      </c>
      <c r="C6" s="4" t="inlineStr">
        <is>
          <t>0.003
29
0.005
5</t>
        </is>
      </c>
      <c r="D6" s="4" t="inlineStr">
        <is>
          <t>0.003
28
0.004
4</t>
        </is>
      </c>
      <c r="E6" s="4" t="inlineStr">
        <is>
          <t>12.8%
3.6%
41.8%
13.1%</t>
        </is>
      </c>
      <c r="F6" s="4" t="inlineStr">
        <is>
          <t>0.49
3,244
0.57
921</t>
        </is>
      </c>
      <c r="G6" s="4" t="inlineStr">
        <is>
          <t>0.58
3,667
0.64
1,163</t>
        </is>
      </c>
      <c r="H6" s="4" t="inlineStr">
        <is>
          <t>-14.7%
-11.5%
-11.9%
-20.8%</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X60"/>
  <sheetViews>
    <sheetView workbookViewId="0">
      <selection activeCell="A1" sqref="A1"/>
    </sheetView>
  </sheetViews>
  <sheetFormatPr baseColWidth="8" defaultRowHeight="15"/>
  <cols>
    <col width="15" customWidth="1" min="1" max="1"/>
    <col width="12" customWidth="1" min="2" max="2"/>
    <col width="15" customWidth="1" min="3" max="3"/>
    <col width="12" customWidth="1" min="4" max="4"/>
    <col width="32" customWidth="1" min="5" max="5"/>
    <col width="12" customWidth="1" min="6" max="6"/>
    <col width="32" customWidth="1" min="7" max="7"/>
    <col width="15" customWidth="1" min="8" max="8"/>
    <col width="14"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4" t="inlineStr">
        <is>
          <t>P E G A S</t>
        </is>
      </c>
      <c r="B1" s="4" t="inlineStr">
        <is>
          <t>U S H A</t>
        </is>
      </c>
      <c r="C1" s="4" t="inlineStr">
        <is>
          <t>V A T A Ş</t>
        </is>
      </c>
      <c r="D1" s="4" t="inlineStr">
        <is>
          <t>I M A</t>
        </is>
      </c>
      <c r="E1" s="4" t="inlineStr">
        <is>
          <t>C I L</t>
        </is>
      </c>
      <c r="F1" s="4" t="inlineStr">
        <is>
          <t>I Ğ I</t>
        </is>
      </c>
      <c r="G1" s="4" t="inlineStr">
        <is>
          <t>A . Ş .</t>
        </is>
      </c>
    </row>
    <row r="3">
      <c r="A3" s="4" t="inlineStr">
        <is>
          <t>A R A L I</t>
        </is>
      </c>
      <c r="B3" s="4" t="inlineStr">
        <is>
          <t>K 2 0 1 9</t>
        </is>
      </c>
      <c r="C3" s="4" t="inlineStr">
        <is>
          <t>T R A F İ K</t>
        </is>
      </c>
      <c r="D3" s="4" t="inlineStr">
        <is>
          <t>S O N</t>
        </is>
      </c>
      <c r="E3" s="4" t="inlineStr">
        <is>
          <t>U Ç</t>
        </is>
      </c>
      <c r="F3" s="4" t="inlineStr">
        <is>
          <t>L A</t>
        </is>
      </c>
      <c r="G3" s="4" t="inlineStr">
        <is>
          <t>R I</t>
        </is>
      </c>
    </row>
    <row r="5">
      <c r="A5" s="4" t="inlineStr">
        <is>
          <t>0 8 . 0 1 .</t>
        </is>
      </c>
      <c r="B5" s="5" t="n">
        <v>2020</v>
      </c>
    </row>
    <row r="7">
      <c r="A7" s="4" t="inlineStr">
        <is>
          <t>A r</t>
        </is>
      </c>
      <c r="B7" s="4" t="inlineStr">
        <is>
          <t>a l ı</t>
        </is>
      </c>
      <c r="C7" s="4" t="inlineStr">
        <is>
          <t>k A r</t>
        </is>
      </c>
      <c r="D7" s="4" t="inlineStr">
        <is>
          <t>a l</t>
        </is>
      </c>
      <c r="E7" s="4" t="inlineStr">
        <is>
          <t>ı k 2</t>
        </is>
      </c>
      <c r="F7" s="5" t="n">
        <v>1</v>
      </c>
      <c r="G7" s="5" t="n">
        <v>9</v>
      </c>
      <c r="H7" s="4" t="inlineStr">
        <is>
          <t>v s O c a k -</t>
        </is>
      </c>
      <c r="I7" s="4" t="inlineStr">
        <is>
          <t>A r</t>
        </is>
      </c>
      <c r="J7" s="4" t="inlineStr">
        <is>
          <t>a l ı</t>
        </is>
      </c>
      <c r="K7" s="4" t="inlineStr">
        <is>
          <t>k O c a k -</t>
        </is>
      </c>
      <c r="L7" s="4" t="inlineStr">
        <is>
          <t>A r</t>
        </is>
      </c>
      <c r="M7" s="4" t="inlineStr">
        <is>
          <t>a l ı</t>
        </is>
      </c>
      <c r="N7" s="4" t="inlineStr">
        <is>
          <t>k 2</t>
        </is>
      </c>
      <c r="O7" s="5" t="n">
        <v>1</v>
      </c>
      <c r="P7" s="5" t="n">
        <v>9</v>
      </c>
      <c r="Q7" s="4" t="inlineStr">
        <is>
          <t>v s</t>
        </is>
      </c>
    </row>
    <row r="9">
      <c r="A9" s="4" t="inlineStr">
        <is>
          <t>2 0</t>
        </is>
      </c>
      <c r="B9" s="5" t="n">
        <v>19</v>
      </c>
      <c r="C9" s="5" t="n">
        <v>20</v>
      </c>
      <c r="D9" s="5" t="n">
        <v>18</v>
      </c>
      <c r="E9" s="5" t="n">
        <v>2</v>
      </c>
      <c r="F9" s="5" t="n">
        <v>0</v>
      </c>
      <c r="G9" s="5" t="n">
        <v>18</v>
      </c>
      <c r="H9" s="5" t="n">
        <v>20</v>
      </c>
      <c r="I9" s="5" t="n">
        <v>19</v>
      </c>
      <c r="J9" s="5" t="n">
        <v>20</v>
      </c>
      <c r="K9" s="5" t="n">
        <v>18</v>
      </c>
      <c r="L9" s="5" t="n">
        <v>2</v>
      </c>
      <c r="M9" s="5" t="n">
        <v>0</v>
      </c>
      <c r="N9" s="5" t="n">
        <v>18</v>
      </c>
    </row>
    <row r="11">
      <c r="A11" s="4" t="inlineStr">
        <is>
          <t>M i s a f i r</t>
        </is>
      </c>
      <c r="B11" s="4" t="inlineStr">
        <is>
          <t>s a y ı</t>
        </is>
      </c>
      <c r="C11" s="4" t="inlineStr">
        <is>
          <t>s ı ,</t>
        </is>
      </c>
      <c r="D11" s="4" t="inlineStr">
        <is>
          <t>m n</t>
        </is>
      </c>
      <c r="E11" s="5" t="n">
        <v>2</v>
      </c>
      <c r="F11" s="5" t="n">
        <v>39</v>
      </c>
      <c r="G11" s="5" t="n">
        <v>2</v>
      </c>
      <c r="H11" s="6" t="n">
        <v>0.19</v>
      </c>
      <c r="I11" s="5" t="n">
        <v>8</v>
      </c>
      <c r="J11" s="6" t="n">
        <v>0.9</v>
      </c>
      <c r="K11" s="4" t="inlineStr">
        <is>
          <t>%</t>
        </is>
      </c>
      <c r="L11" s="5" t="n">
        <v>29</v>
      </c>
      <c r="M11" s="5" t="n">
        <v>87</v>
      </c>
      <c r="N11" s="5" t="n">
        <v>29</v>
      </c>
      <c r="O11" s="5" t="n">
        <v>97</v>
      </c>
      <c r="P11" s="5" t="n">
        <v>0</v>
      </c>
      <c r="Q11" s="6" t="n">
        <v>0.3</v>
      </c>
      <c r="R11" s="4" t="inlineStr">
        <is>
          <t>%</t>
        </is>
      </c>
    </row>
    <row r="13">
      <c r="A13" s="4" t="inlineStr">
        <is>
          <t>K o n m a</t>
        </is>
      </c>
      <c r="B13" s="5" t="n">
        <v>1</v>
      </c>
      <c r="C13" s="5" t="n">
        <v>5</v>
      </c>
      <c r="D13" s="5" t="n">
        <v>511</v>
      </c>
      <c r="E13" s="6" t="n">
        <v>4.6</v>
      </c>
      <c r="F13" s="5" t="n">
        <v>84</v>
      </c>
      <c r="G13" s="5" t="n">
        <v>2</v>
      </c>
      <c r="H13" s="6" t="n">
        <v>0.5</v>
      </c>
      <c r="I13" s="7" t="n">
        <v>0.01</v>
      </c>
      <c r="J13" s="5" t="n">
        <v>8</v>
      </c>
      <c r="K13" s="6" t="n">
        <v>7.3</v>
      </c>
      <c r="L13" s="5" t="n">
        <v>71</v>
      </c>
      <c r="M13" s="5" t="n">
        <v>8</v>
      </c>
      <c r="N13" s="6" t="n">
        <v>9.4</v>
      </c>
      <c r="O13" s="5" t="n">
        <v>91</v>
      </c>
      <c r="P13" s="5" t="n">
        <v>-1</v>
      </c>
      <c r="Q13" s="6" t="n">
        <v>0.2</v>
      </c>
      <c r="R13" s="4" t="inlineStr">
        <is>
          <t>%</t>
        </is>
      </c>
    </row>
    <row r="15">
      <c r="A15" s="4" t="inlineStr">
        <is>
          <t>K o lt u k s</t>
        </is>
      </c>
      <c r="B15" s="4" t="inlineStr">
        <is>
          <t>a y ıs</t>
        </is>
      </c>
      <c r="C15" s="4" t="inlineStr">
        <is>
          <t>ı,</t>
        </is>
      </c>
      <c r="D15" s="4" t="inlineStr">
        <is>
          <t>m n</t>
        </is>
      </c>
      <c r="E15" s="5" t="n">
        <v>2</v>
      </c>
      <c r="F15" s="5" t="n">
        <v>81</v>
      </c>
      <c r="G15" s="5" t="n">
        <v>2</v>
      </c>
      <c r="H15" s="5" t="n">
        <v>71</v>
      </c>
      <c r="I15" s="5" t="n">
        <v>3</v>
      </c>
      <c r="J15" s="6" t="n">
        <v>0.4</v>
      </c>
      <c r="K15" s="4" t="inlineStr">
        <is>
          <t>%</t>
        </is>
      </c>
      <c r="L15" s="5" t="n">
        <v>34</v>
      </c>
      <c r="M15" s="5" t="n">
        <v>72</v>
      </c>
      <c r="N15" s="5" t="n">
        <v>35</v>
      </c>
      <c r="O15" s="5" t="n">
        <v>6</v>
      </c>
      <c r="P15" s="5" t="n">
        <v>-1</v>
      </c>
      <c r="Q15" s="5" t="n">
        <v>0</v>
      </c>
      <c r="R15" s="4" t="inlineStr">
        <is>
          <t>%</t>
        </is>
      </c>
    </row>
    <row r="17">
      <c r="A17" s="4" t="inlineStr">
        <is>
          <t>T o p l a</t>
        </is>
      </c>
      <c r="B17" s="4" t="inlineStr">
        <is>
          <t>m</t>
        </is>
      </c>
      <c r="C17" s="4" t="inlineStr">
        <is>
          <t>D o l u l u k</t>
        </is>
      </c>
      <c r="D17" s="4" t="inlineStr">
        <is>
          <t>O r a</t>
        </is>
      </c>
      <c r="E17" s="4" t="inlineStr">
        <is>
          <t>n ı</t>
        </is>
      </c>
      <c r="F17" s="5" t="n">
        <v>8</v>
      </c>
      <c r="G17" s="6" t="n">
        <v>5.1</v>
      </c>
      <c r="H17" s="7" t="n">
        <v>0.08</v>
      </c>
      <c r="I17" s="5" t="n">
        <v>0</v>
      </c>
      <c r="J17" s="7" t="n">
        <v>0.08</v>
      </c>
      <c r="K17" s="5" t="n">
        <v>4</v>
      </c>
      <c r="L17" s="6" t="n">
        <v>0.3</v>
      </c>
      <c r="M17" s="4" t="inlineStr">
        <is>
          <t>%</t>
        </is>
      </c>
      <c r="N17" s="5" t="n">
        <v>8</v>
      </c>
      <c r="O17" s="5" t="n">
        <v>6</v>
      </c>
      <c r="P17" s="4" t="inlineStr">
        <is>
          <t>%</t>
        </is>
      </c>
      <c r="Q17" s="5" t="n">
        <v>8</v>
      </c>
      <c r="R17" s="6" t="n">
        <v>5.5</v>
      </c>
      <c r="S17" s="4" t="inlineStr">
        <is>
          <t>%</t>
        </is>
      </c>
      <c r="T17" s="5" t="n">
        <v>0</v>
      </c>
      <c r="U17" s="6" t="n">
        <v>0.6</v>
      </c>
      <c r="V17" s="4" t="inlineStr">
        <is>
          <t>%</t>
        </is>
      </c>
      <c r="W17" s="4" t="inlineStr">
        <is>
          <t>p</t>
        </is>
      </c>
      <c r="X17" s="4" t="inlineStr">
        <is>
          <t>p</t>
        </is>
      </c>
    </row>
    <row r="19">
      <c r="A19" s="4" t="inlineStr">
        <is>
          <t>A S K ( m</t>
        </is>
      </c>
      <c r="B19" s="4" t="inlineStr">
        <is>
          <t>k m )</t>
        </is>
      </c>
      <c r="C19" s="5" t="n">
        <v>3</v>
      </c>
      <c r="D19" s="5" t="n">
        <v>71</v>
      </c>
      <c r="E19" s="6" t="n">
        <v>2.8</v>
      </c>
      <c r="F19" s="5" t="n">
        <v>21</v>
      </c>
      <c r="G19" s="5" t="n">
        <v>8</v>
      </c>
      <c r="H19" s="6" t="n">
        <v>0.9</v>
      </c>
      <c r="I19" s="4" t="inlineStr">
        <is>
          <t>%</t>
        </is>
      </c>
      <c r="J19" s="5" t="n">
        <v>3</v>
      </c>
      <c r="K19" s="6" t="n">
        <v>8.5</v>
      </c>
      <c r="L19" s="5" t="n">
        <v>55</v>
      </c>
      <c r="M19" s="5" t="n">
        <v>3</v>
      </c>
      <c r="N19" s="6" t="n">
        <v>5.5</v>
      </c>
      <c r="O19" s="5" t="n">
        <v>43</v>
      </c>
      <c r="P19" s="5" t="n">
        <v>8</v>
      </c>
      <c r="Q19" s="6" t="n">
        <v>0.5</v>
      </c>
      <c r="R19" s="4" t="inlineStr">
        <is>
          <t>%</t>
        </is>
      </c>
    </row>
    <row r="21">
      <c r="A21" s="4" t="inlineStr">
        <is>
          <t>K o n m a</t>
        </is>
      </c>
      <c r="B21" s="4" t="inlineStr">
        <is>
          <t>b a ş ı</t>
        </is>
      </c>
      <c r="C21" s="4" t="inlineStr">
        <is>
          <t>n a</t>
        </is>
      </c>
      <c r="D21" s="4" t="inlineStr">
        <is>
          <t>M is</t>
        </is>
      </c>
      <c r="E21" s="4" t="inlineStr">
        <is>
          <t>a fir</t>
        </is>
      </c>
      <c r="F21" s="5" t="n">
        <v>1</v>
      </c>
      <c r="G21" s="5" t="n">
        <v>59</v>
      </c>
      <c r="H21" s="5" t="n">
        <v>1</v>
      </c>
      <c r="I21" s="5" t="n">
        <v>49</v>
      </c>
      <c r="J21" s="5" t="n">
        <v>6</v>
      </c>
      <c r="K21" s="6" t="n">
        <v>0.3</v>
      </c>
      <c r="L21" s="4" t="inlineStr">
        <is>
          <t>%</t>
        </is>
      </c>
      <c r="M21" s="5" t="n">
        <v>1</v>
      </c>
      <c r="N21" s="5" t="n">
        <v>59</v>
      </c>
      <c r="O21" s="5" t="n">
        <v>1</v>
      </c>
      <c r="P21" s="5" t="n">
        <v>58</v>
      </c>
      <c r="Q21" s="5" t="n">
        <v>0</v>
      </c>
      <c r="R21" s="6" t="n">
        <v>0.8</v>
      </c>
      <c r="S21" s="4" t="inlineStr">
        <is>
          <t>%</t>
        </is>
      </c>
    </row>
    <row r="23">
      <c r="A23" s="4" t="inlineStr">
        <is>
          <t>O r t a la m</t>
        </is>
      </c>
      <c r="B23" s="4" t="inlineStr">
        <is>
          <t>a g ü</t>
        </is>
      </c>
      <c r="C23" s="4" t="inlineStr">
        <is>
          <t>n lü</t>
        </is>
      </c>
      <c r="D23" s="4" t="inlineStr">
        <is>
          <t>k u</t>
        </is>
      </c>
      <c r="E23" s="4" t="inlineStr">
        <is>
          <t>ç a k k u lla n ım ı ( B lo k S a a t )</t>
        </is>
      </c>
      <c r="F23" s="5" t="n">
        <v>12</v>
      </c>
      <c r="G23" s="5" t="n">
        <v>0</v>
      </c>
      <c r="H23" s="5" t="n">
        <v>1</v>
      </c>
      <c r="I23" s="6" t="n">
        <v>1.7</v>
      </c>
      <c r="J23" s="5" t="n">
        <v>2</v>
      </c>
      <c r="K23" s="6" t="n">
        <v>0.7</v>
      </c>
      <c r="L23" s="4" t="inlineStr">
        <is>
          <t>%</t>
        </is>
      </c>
      <c r="M23" s="5" t="n">
        <v>12</v>
      </c>
      <c r="N23" s="6" t="n">
        <v>0.8</v>
      </c>
      <c r="O23" s="5" t="n">
        <v>12</v>
      </c>
      <c r="P23" s="6" t="n">
        <v>0.6</v>
      </c>
      <c r="Q23" s="5" t="n">
        <v>2</v>
      </c>
      <c r="R23" s="6" t="n">
        <v>0.1</v>
      </c>
      <c r="S23" s="4" t="inlineStr">
        <is>
          <t>%</t>
        </is>
      </c>
    </row>
    <row r="25">
      <c r="A25" s="4" t="inlineStr">
        <is>
          <t>M i s a f i r</t>
        </is>
      </c>
      <c r="B25" s="4" t="inlineStr">
        <is>
          <t>s a y ı</t>
        </is>
      </c>
      <c r="C25" s="4" t="inlineStr">
        <is>
          <t>s ı ,</t>
        </is>
      </c>
      <c r="D25" s="4" t="inlineStr">
        <is>
          <t>m n</t>
        </is>
      </c>
      <c r="E25" s="5" t="n">
        <v>1</v>
      </c>
      <c r="F25" s="5" t="n">
        <v>31</v>
      </c>
      <c r="G25" s="5" t="n">
        <v>1</v>
      </c>
      <c r="H25" s="6" t="n">
        <v>0.29</v>
      </c>
      <c r="I25" s="5" t="n">
        <v>1</v>
      </c>
      <c r="J25" s="6" t="n">
        <v>0.7</v>
      </c>
      <c r="K25" s="4" t="inlineStr">
        <is>
          <t>%</t>
        </is>
      </c>
      <c r="L25" s="5" t="n">
        <v>15</v>
      </c>
      <c r="M25" s="5" t="n">
        <v>66</v>
      </c>
      <c r="N25" s="5" t="n">
        <v>17</v>
      </c>
      <c r="O25" s="4" t="inlineStr">
        <is>
          <t>6 9 -</t>
        </is>
      </c>
      <c r="P25" s="5" t="n">
        <v>11</v>
      </c>
      <c r="Q25" s="6" t="n">
        <v>0.5</v>
      </c>
      <c r="R25" s="4" t="inlineStr">
        <is>
          <t>%</t>
        </is>
      </c>
    </row>
    <row r="27">
      <c r="A27" s="4" t="inlineStr">
        <is>
          <t>K o n m a</t>
        </is>
      </c>
      <c r="B27" s="5" t="n">
        <v>8</v>
      </c>
      <c r="C27" s="5" t="n">
        <v>40</v>
      </c>
      <c r="D27" s="6" t="n">
        <v>8.1</v>
      </c>
      <c r="E27" s="5" t="n">
        <v>67</v>
      </c>
      <c r="F27" s="5" t="n">
        <v>-1</v>
      </c>
      <c r="G27" s="6" t="n">
        <v>0.6</v>
      </c>
      <c r="H27" s="4" t="inlineStr">
        <is>
          <t>%</t>
        </is>
      </c>
      <c r="I27" s="5" t="n">
        <v>9</v>
      </c>
      <c r="J27" s="5" t="n">
        <v>3</v>
      </c>
      <c r="K27" s="5" t="n">
        <v>671</v>
      </c>
      <c r="L27" s="5" t="n">
        <v>0</v>
      </c>
      <c r="M27" s="6" t="n">
        <v>7.2</v>
      </c>
      <c r="N27" s="4" t="inlineStr">
        <is>
          <t>0 5 -</t>
        </is>
      </c>
      <c r="O27" s="5" t="n">
        <v>13</v>
      </c>
      <c r="P27" s="6" t="n">
        <v>0.2</v>
      </c>
      <c r="Q27" s="4" t="inlineStr">
        <is>
          <t>%</t>
        </is>
      </c>
    </row>
    <row r="29">
      <c r="A29" s="4" t="inlineStr">
        <is>
          <t>K o lt u k s</t>
        </is>
      </c>
      <c r="B29" s="4" t="inlineStr">
        <is>
          <t>a y ıs</t>
        </is>
      </c>
      <c r="C29" s="4" t="inlineStr">
        <is>
          <t>ı,</t>
        </is>
      </c>
      <c r="D29" s="4" t="inlineStr">
        <is>
          <t>m n</t>
        </is>
      </c>
      <c r="E29" s="5" t="n">
        <v>1</v>
      </c>
      <c r="F29" s="5" t="n">
        <v>51</v>
      </c>
      <c r="G29" s="5" t="n">
        <v>1</v>
      </c>
      <c r="H29" s="5" t="n">
        <v>53</v>
      </c>
      <c r="I29" s="5" t="n">
        <v>-1</v>
      </c>
      <c r="J29" s="5" t="n">
        <v>0</v>
      </c>
      <c r="K29" s="4" t="inlineStr">
        <is>
          <t>%</t>
        </is>
      </c>
      <c r="L29" s="5" t="n">
        <v>17</v>
      </c>
      <c r="M29" s="5" t="n">
        <v>43</v>
      </c>
      <c r="N29" s="5" t="n">
        <v>20</v>
      </c>
      <c r="O29" s="4" t="inlineStr">
        <is>
          <t>0 2 -</t>
        </is>
      </c>
      <c r="P29" s="5" t="n">
        <v>13</v>
      </c>
      <c r="Q29" s="5" t="n">
        <v>0</v>
      </c>
      <c r="R29" s="4" t="inlineStr">
        <is>
          <t>%</t>
        </is>
      </c>
    </row>
    <row r="31">
      <c r="A31" s="4" t="inlineStr">
        <is>
          <t>İ ç H a t l</t>
        </is>
      </c>
      <c r="B31" s="4" t="inlineStr">
        <is>
          <t>a r</t>
        </is>
      </c>
    </row>
    <row r="32">
      <c r="A32" s="4" t="inlineStr">
        <is>
          <t>D o l u l u k</t>
        </is>
      </c>
      <c r="B32" s="4" t="inlineStr">
        <is>
          <t>O r a</t>
        </is>
      </c>
      <c r="C32" s="4" t="inlineStr">
        <is>
          <t>n ı</t>
        </is>
      </c>
      <c r="D32" s="5" t="n">
        <v>8</v>
      </c>
      <c r="E32" s="6" t="n">
        <v>6.6</v>
      </c>
      <c r="F32" s="7" t="n">
        <v>0.08</v>
      </c>
      <c r="G32" s="5" t="n">
        <v>4</v>
      </c>
      <c r="H32" s="7" t="n">
        <v>0.04</v>
      </c>
      <c r="I32" s="5" t="n">
        <v>2</v>
      </c>
      <c r="J32" s="6" t="n">
        <v>0.2</v>
      </c>
      <c r="K32" s="4" t="inlineStr">
        <is>
          <t>%</t>
        </is>
      </c>
      <c r="L32" s="5" t="n">
        <v>8</v>
      </c>
      <c r="M32" s="6" t="n">
        <v>9.9</v>
      </c>
      <c r="N32" s="4" t="inlineStr">
        <is>
          <t>%</t>
        </is>
      </c>
      <c r="O32" s="5" t="n">
        <v>8</v>
      </c>
      <c r="P32" s="6" t="n">
        <v>8.4</v>
      </c>
      <c r="Q32" s="4" t="inlineStr">
        <is>
          <t>%</t>
        </is>
      </c>
      <c r="R32" s="5" t="n">
        <v>1</v>
      </c>
      <c r="S32" s="6" t="n">
        <v>0.5</v>
      </c>
      <c r="T32" s="4" t="inlineStr">
        <is>
          <t>%</t>
        </is>
      </c>
      <c r="U32" s="4" t="inlineStr">
        <is>
          <t>p</t>
        </is>
      </c>
      <c r="V32" s="4" t="inlineStr">
        <is>
          <t>p</t>
        </is>
      </c>
    </row>
    <row r="34">
      <c r="A34" s="4" t="inlineStr">
        <is>
          <t>A S K ( m</t>
        </is>
      </c>
      <c r="B34" s="4" t="inlineStr">
        <is>
          <t>k m )</t>
        </is>
      </c>
      <c r="C34" s="5" t="n">
        <v>9</v>
      </c>
      <c r="D34" s="5" t="n">
        <v>13</v>
      </c>
      <c r="E34" s="5" t="n">
        <v>9</v>
      </c>
      <c r="F34" s="5" t="n">
        <v>22</v>
      </c>
      <c r="G34" s="5" t="n">
        <v>-1</v>
      </c>
      <c r="H34" s="5" t="n">
        <v>0</v>
      </c>
      <c r="I34" s="4" t="inlineStr">
        <is>
          <t>%</t>
        </is>
      </c>
      <c r="J34" s="5" t="n">
        <v>1</v>
      </c>
      <c r="K34" s="6" t="n">
        <v>0.3</v>
      </c>
      <c r="L34" s="5" t="n">
        <v>55</v>
      </c>
      <c r="M34" s="5" t="n">
        <v>1</v>
      </c>
      <c r="N34" s="5" t="n">
        <v>2</v>
      </c>
      <c r="O34" s="4" t="inlineStr">
        <is>
          <t>8 0 -</t>
        </is>
      </c>
      <c r="P34" s="5" t="n">
        <v>14</v>
      </c>
      <c r="Q34" s="6" t="n">
        <v>0.3</v>
      </c>
      <c r="R34" s="4" t="inlineStr">
        <is>
          <t>%</t>
        </is>
      </c>
    </row>
    <row r="36">
      <c r="A36" s="4" t="inlineStr">
        <is>
          <t>K o n m a</t>
        </is>
      </c>
      <c r="B36" s="4" t="inlineStr">
        <is>
          <t>b a ş ı</t>
        </is>
      </c>
      <c r="C36" s="4" t="inlineStr">
        <is>
          <t>n a</t>
        </is>
      </c>
      <c r="D36" s="4" t="inlineStr">
        <is>
          <t>M is</t>
        </is>
      </c>
      <c r="E36" s="4" t="inlineStr">
        <is>
          <t>a fir</t>
        </is>
      </c>
      <c r="F36" s="5" t="n">
        <v>1</v>
      </c>
      <c r="G36" s="5" t="n">
        <v>63</v>
      </c>
      <c r="H36" s="5" t="n">
        <v>1</v>
      </c>
      <c r="I36" s="5" t="n">
        <v>58</v>
      </c>
      <c r="J36" s="5" t="n">
        <v>3</v>
      </c>
      <c r="K36" s="6" t="n">
        <v>0.3</v>
      </c>
      <c r="L36" s="4" t="inlineStr">
        <is>
          <t>%</t>
        </is>
      </c>
      <c r="M36" s="5" t="n">
        <v>1</v>
      </c>
      <c r="N36" s="5" t="n">
        <v>68</v>
      </c>
      <c r="O36" s="5" t="n">
        <v>1</v>
      </c>
      <c r="P36" s="5" t="n">
        <v>65</v>
      </c>
      <c r="Q36" s="5" t="n">
        <v>2</v>
      </c>
      <c r="R36" s="5" t="n">
        <v>0</v>
      </c>
      <c r="S36" s="4" t="inlineStr">
        <is>
          <t>%</t>
        </is>
      </c>
    </row>
    <row r="37">
      <c r="A37" s="4" t="inlineStr">
        <is>
          <t>M i s a f i r</t>
        </is>
      </c>
      <c r="B37" s="4" t="inlineStr">
        <is>
          <t>s a y ı</t>
        </is>
      </c>
      <c r="C37" s="4" t="inlineStr">
        <is>
          <t>s ı ,</t>
        </is>
      </c>
      <c r="D37" s="4" t="inlineStr">
        <is>
          <t>m n</t>
        </is>
      </c>
      <c r="E37" s="5" t="n">
        <v>1</v>
      </c>
      <c r="F37" s="5" t="n">
        <v>8</v>
      </c>
      <c r="G37" s="5" t="n">
        <v>0</v>
      </c>
      <c r="H37" s="6" t="n">
        <v>0.9</v>
      </c>
      <c r="I37" s="5" t="n">
        <v>19</v>
      </c>
      <c r="J37" s="6" t="n">
        <v>0.3</v>
      </c>
      <c r="K37" s="4" t="inlineStr">
        <is>
          <t>%</t>
        </is>
      </c>
      <c r="L37" s="5" t="n">
        <v>13</v>
      </c>
      <c r="M37" s="5" t="n">
        <v>71</v>
      </c>
      <c r="N37" s="5" t="n">
        <v>11</v>
      </c>
      <c r="O37" s="5" t="n">
        <v>70</v>
      </c>
      <c r="P37" s="5" t="n">
        <v>17</v>
      </c>
      <c r="Q37" s="6" t="n">
        <v>0.2</v>
      </c>
      <c r="R37" s="4" t="inlineStr">
        <is>
          <t>%</t>
        </is>
      </c>
    </row>
    <row r="38">
      <c r="A38" s="4" t="inlineStr">
        <is>
          <t>P e g a</t>
        </is>
      </c>
      <c r="B38" s="4" t="inlineStr">
        <is>
          <t>s u s</t>
        </is>
      </c>
      <c r="C38" s="5" t="n">
        <v>1</v>
      </c>
      <c r="D38" s="5" t="n">
        <v>8</v>
      </c>
      <c r="E38" s="5" t="n">
        <v>0</v>
      </c>
      <c r="F38" s="5" t="n">
        <v>89</v>
      </c>
      <c r="G38" s="5" t="n">
        <v>21</v>
      </c>
      <c r="H38" s="6" t="n">
        <v>0.4</v>
      </c>
      <c r="I38" s="4" t="inlineStr">
        <is>
          <t>%</t>
        </is>
      </c>
      <c r="J38" s="5" t="n">
        <v>1</v>
      </c>
      <c r="K38" s="6" t="n">
        <v>3.4</v>
      </c>
      <c r="L38" s="5" t="n">
        <v>6</v>
      </c>
      <c r="M38" s="5" t="n">
        <v>1</v>
      </c>
      <c r="N38" s="6" t="n">
        <v>1.2</v>
      </c>
      <c r="O38" s="5" t="n">
        <v>5</v>
      </c>
      <c r="P38" s="5" t="n">
        <v>19</v>
      </c>
      <c r="Q38" s="6" t="n">
        <v>0.6</v>
      </c>
      <c r="R38" s="4" t="inlineStr">
        <is>
          <t>%</t>
        </is>
      </c>
    </row>
    <row r="39">
      <c r="A39" s="4" t="inlineStr">
        <is>
          <t>A ir M</t>
        </is>
      </c>
      <c r="B39" s="4" t="inlineStr">
        <is>
          <t>a n a s</t>
        </is>
      </c>
      <c r="C39" s="5" t="n">
        <v>0</v>
      </c>
      <c r="D39" s="5" t="n">
        <v>0</v>
      </c>
      <c r="E39" s="5" t="n">
        <v>0</v>
      </c>
      <c r="F39" s="4" t="inlineStr">
        <is>
          <t>0 2 - 1</t>
        </is>
      </c>
      <c r="G39" s="5" t="n">
        <v>0</v>
      </c>
      <c r="H39" s="5" t="n">
        <v>0</v>
      </c>
      <c r="I39" s="4" t="inlineStr">
        <is>
          <t>%</t>
        </is>
      </c>
      <c r="J39" s="6" t="n">
        <v>0.2</v>
      </c>
      <c r="K39" s="5" t="n">
        <v>5</v>
      </c>
      <c r="L39" s="6" t="n">
        <v>0.4</v>
      </c>
      <c r="M39" s="4" t="inlineStr">
        <is>
          <t>5 -</t>
        </is>
      </c>
      <c r="N39" s="5" t="n">
        <v>44</v>
      </c>
      <c r="O39" s="6" t="n">
        <v>0.7</v>
      </c>
      <c r="P39" s="4" t="inlineStr">
        <is>
          <t>%</t>
        </is>
      </c>
    </row>
    <row r="41">
      <c r="A41" s="4" t="inlineStr">
        <is>
          <t>K o n m a</t>
        </is>
      </c>
      <c r="B41" s="6" t="n">
        <v>6.9</v>
      </c>
      <c r="C41" s="5" t="n">
        <v>69</v>
      </c>
      <c r="D41" s="6" t="n">
        <v>6.4</v>
      </c>
      <c r="E41" s="5" t="n">
        <v>82</v>
      </c>
      <c r="F41" s="5" t="n">
        <v>7</v>
      </c>
      <c r="G41" s="6" t="n">
        <v>0.5</v>
      </c>
      <c r="H41" s="4" t="inlineStr">
        <is>
          <t>%</t>
        </is>
      </c>
      <c r="I41" s="5" t="n">
        <v>9</v>
      </c>
      <c r="J41" s="6" t="n">
        <v>0.9</v>
      </c>
      <c r="K41" s="5" t="n">
        <v>54</v>
      </c>
      <c r="L41" s="5" t="n">
        <v>7</v>
      </c>
      <c r="M41" s="6" t="n">
        <v>8.5</v>
      </c>
      <c r="N41" s="5" t="n">
        <v>84</v>
      </c>
      <c r="O41" s="5" t="n">
        <v>15</v>
      </c>
      <c r="P41" s="6" t="n">
        <v>0.7</v>
      </c>
      <c r="Q41" s="4" t="inlineStr">
        <is>
          <t>%</t>
        </is>
      </c>
    </row>
    <row r="42">
      <c r="A42" s="4" t="inlineStr">
        <is>
          <t>D ı ş H a</t>
        </is>
      </c>
      <c r="B42" s="4" t="inlineStr">
        <is>
          <t>t l a r</t>
        </is>
      </c>
    </row>
    <row r="43">
      <c r="A43" s="4" t="inlineStr">
        <is>
          <t>K o lt u k s</t>
        </is>
      </c>
      <c r="B43" s="4" t="inlineStr">
        <is>
          <t>a y ıs</t>
        </is>
      </c>
      <c r="C43" s="4" t="inlineStr">
        <is>
          <t>ı,</t>
        </is>
      </c>
      <c r="D43" s="4" t="inlineStr">
        <is>
          <t>m n</t>
        </is>
      </c>
      <c r="E43" s="5" t="n">
        <v>1</v>
      </c>
      <c r="F43" s="5" t="n">
        <v>29</v>
      </c>
      <c r="G43" s="5" t="n">
        <v>1</v>
      </c>
      <c r="H43" s="5" t="n">
        <v>18</v>
      </c>
      <c r="I43" s="5" t="n">
        <v>9</v>
      </c>
      <c r="J43" s="5" t="n">
        <v>0</v>
      </c>
      <c r="K43" s="4" t="inlineStr">
        <is>
          <t>%</t>
        </is>
      </c>
      <c r="L43" s="5" t="n">
        <v>16</v>
      </c>
      <c r="M43" s="5" t="n">
        <v>72</v>
      </c>
      <c r="N43" s="5" t="n">
        <v>14</v>
      </c>
      <c r="O43" s="5" t="n">
        <v>39</v>
      </c>
      <c r="P43" s="5" t="n">
        <v>16</v>
      </c>
      <c r="Q43" s="6" t="n">
        <v>0.2</v>
      </c>
      <c r="R43" s="4" t="inlineStr">
        <is>
          <t>%</t>
        </is>
      </c>
    </row>
    <row r="45">
      <c r="A45" s="4" t="inlineStr">
        <is>
          <t>D o l u l u k</t>
        </is>
      </c>
      <c r="B45" s="4" t="inlineStr">
        <is>
          <t>O r a</t>
        </is>
      </c>
      <c r="C45" s="4" t="inlineStr">
        <is>
          <t>n ı</t>
        </is>
      </c>
      <c r="D45" s="5" t="n">
        <v>8</v>
      </c>
      <c r="E45" s="6" t="n">
        <v>3.4</v>
      </c>
      <c r="F45" s="7" t="n">
        <v>0.07000000000000001</v>
      </c>
      <c r="G45" s="5" t="n">
        <v>6</v>
      </c>
      <c r="H45" s="7" t="n">
        <v>0.02</v>
      </c>
      <c r="I45" s="5" t="n">
        <v>7</v>
      </c>
      <c r="J45" s="6" t="n">
        <v>0.2</v>
      </c>
      <c r="K45" s="4" t="inlineStr">
        <is>
          <t>%</t>
        </is>
      </c>
      <c r="L45" s="5" t="n">
        <v>8</v>
      </c>
      <c r="M45" s="5" t="n">
        <v>2</v>
      </c>
      <c r="N45" s="4" t="inlineStr">
        <is>
          <t>%</t>
        </is>
      </c>
      <c r="O45" s="5" t="n">
        <v>8</v>
      </c>
      <c r="P45" s="6" t="n">
        <v>1.3</v>
      </c>
      <c r="Q45" s="4" t="inlineStr">
        <is>
          <t>%</t>
        </is>
      </c>
      <c r="R45" s="5" t="n">
        <v>0</v>
      </c>
      <c r="S45" s="6" t="n">
        <v>0.7</v>
      </c>
      <c r="T45" s="4" t="inlineStr">
        <is>
          <t>%</t>
        </is>
      </c>
      <c r="U45" s="4" t="inlineStr">
        <is>
          <t>p</t>
        </is>
      </c>
      <c r="V45" s="4" t="inlineStr">
        <is>
          <t>p</t>
        </is>
      </c>
    </row>
    <row r="47">
      <c r="A47" s="4" t="inlineStr">
        <is>
          <t>A S K ( m</t>
        </is>
      </c>
      <c r="B47" s="4" t="inlineStr">
        <is>
          <t>k m )</t>
        </is>
      </c>
      <c r="C47" s="6" t="n">
        <v>2.1</v>
      </c>
      <c r="D47" s="5" t="n">
        <v>49</v>
      </c>
      <c r="E47" s="6" t="n">
        <v>1.8</v>
      </c>
      <c r="F47" s="5" t="n">
        <v>91</v>
      </c>
      <c r="G47" s="5" t="n">
        <v>13</v>
      </c>
      <c r="H47" s="6" t="n">
        <v>0.6</v>
      </c>
      <c r="I47" s="4" t="inlineStr">
        <is>
          <t>%</t>
        </is>
      </c>
      <c r="J47" s="5" t="n">
        <v>2</v>
      </c>
      <c r="K47" s="6" t="n">
        <v>7.2</v>
      </c>
      <c r="L47" s="5" t="n">
        <v>70</v>
      </c>
      <c r="M47" s="5" t="n">
        <v>2</v>
      </c>
      <c r="N47" s="6" t="n">
        <v>2.2</v>
      </c>
      <c r="O47" s="5" t="n">
        <v>91</v>
      </c>
      <c r="P47" s="5" t="n">
        <v>22</v>
      </c>
      <c r="Q47" s="6" t="n">
        <v>0.3</v>
      </c>
      <c r="R47" s="4" t="inlineStr">
        <is>
          <t>%</t>
        </is>
      </c>
    </row>
    <row r="49">
      <c r="A49" s="4" t="inlineStr">
        <is>
          <t>K o n m a</t>
        </is>
      </c>
      <c r="B49" s="4" t="inlineStr">
        <is>
          <t>b a ş ı</t>
        </is>
      </c>
      <c r="C49" s="4" t="inlineStr">
        <is>
          <t>n a</t>
        </is>
      </c>
      <c r="D49" s="4" t="inlineStr">
        <is>
          <t>M is</t>
        </is>
      </c>
      <c r="E49" s="4" t="inlineStr">
        <is>
          <t>a fir</t>
        </is>
      </c>
      <c r="F49" s="5" t="n">
        <v>1</v>
      </c>
      <c r="G49" s="5" t="n">
        <v>54</v>
      </c>
      <c r="H49" s="5" t="n">
        <v>1</v>
      </c>
      <c r="I49" s="5" t="n">
        <v>39</v>
      </c>
      <c r="J49" s="5" t="n">
        <v>10</v>
      </c>
      <c r="K49" s="6" t="n">
        <v>0.9</v>
      </c>
      <c r="L49" s="4" t="inlineStr">
        <is>
          <t>%</t>
        </is>
      </c>
      <c r="M49" s="5" t="n">
        <v>1</v>
      </c>
      <c r="N49" s="5" t="n">
        <v>51</v>
      </c>
      <c r="O49" s="5" t="n">
        <v>1</v>
      </c>
      <c r="P49" s="5" t="n">
        <v>49</v>
      </c>
      <c r="Q49" s="5" t="n">
        <v>1</v>
      </c>
      <c r="R49" s="6" t="n">
        <v>0.2</v>
      </c>
      <c r="S49" s="4" t="inlineStr">
        <is>
          <t>%</t>
        </is>
      </c>
    </row>
    <row r="51">
      <c r="A51" s="4" t="inlineStr">
        <is>
          <t>M i s a f i r</t>
        </is>
      </c>
      <c r="B51" s="4" t="inlineStr">
        <is>
          <t>s a y ıs</t>
        </is>
      </c>
      <c r="C51" s="4" t="inlineStr">
        <is>
          <t>ı,</t>
        </is>
      </c>
      <c r="D51" s="4" t="inlineStr">
        <is>
          <t>m n</t>
        </is>
      </c>
      <c r="E51" s="5" t="n">
        <v>0</v>
      </c>
      <c r="F51" s="5" t="n">
        <v>4</v>
      </c>
      <c r="G51" s="5" t="n">
        <v>0</v>
      </c>
      <c r="H51" s="5" t="n">
        <v>4</v>
      </c>
      <c r="I51" s="5" t="n">
        <v>7</v>
      </c>
      <c r="J51" s="6" t="n">
        <v>0.6</v>
      </c>
      <c r="K51" s="4" t="inlineStr">
        <is>
          <t>%</t>
        </is>
      </c>
      <c r="L51" s="5" t="n">
        <v>0</v>
      </c>
      <c r="M51" s="5" t="n">
        <v>50</v>
      </c>
      <c r="N51" s="5" t="n">
        <v>0</v>
      </c>
      <c r="O51" s="4" t="inlineStr">
        <is>
          <t>5 8 -</t>
        </is>
      </c>
      <c r="P51" s="5" t="n">
        <v>14</v>
      </c>
      <c r="Q51" s="6" t="n">
        <v>0.6</v>
      </c>
      <c r="R51" s="4" t="inlineStr">
        <is>
          <t>%</t>
        </is>
      </c>
    </row>
    <row r="53">
      <c r="A53" s="4" t="inlineStr">
        <is>
          <t>K o n m a</t>
        </is>
      </c>
      <c r="B53" s="5" t="n">
        <v>42</v>
      </c>
      <c r="C53" s="5" t="n">
        <v>35</v>
      </c>
      <c r="D53" s="5" t="n">
        <v>20</v>
      </c>
      <c r="E53" s="5" t="n">
        <v>0</v>
      </c>
      <c r="F53" s="4" t="inlineStr">
        <is>
          <t>%</t>
        </is>
      </c>
      <c r="G53" s="6" t="n">
        <v>3.2</v>
      </c>
      <c r="H53" s="5" t="n">
        <v>86</v>
      </c>
      <c r="I53" s="6" t="n">
        <v>3.7</v>
      </c>
      <c r="J53" s="4" t="inlineStr">
        <is>
          <t>0 2 -</t>
        </is>
      </c>
      <c r="K53" s="5" t="n">
        <v>11</v>
      </c>
      <c r="L53" s="6" t="n">
        <v>0.2</v>
      </c>
      <c r="M53" s="4" t="inlineStr">
        <is>
          <t>%</t>
        </is>
      </c>
    </row>
    <row r="55">
      <c r="A55" s="4" t="inlineStr">
        <is>
          <t>C h a r t e</t>
        </is>
      </c>
      <c r="B55" s="4" t="inlineStr">
        <is>
          <t>r</t>
        </is>
      </c>
    </row>
    <row r="56">
      <c r="A56" s="4" t="inlineStr">
        <is>
          <t>K o l t u k</t>
        </is>
      </c>
      <c r="B56" s="4" t="inlineStr">
        <is>
          <t>s a y ıs</t>
        </is>
      </c>
      <c r="C56" s="4" t="inlineStr">
        <is>
          <t>ı,</t>
        </is>
      </c>
      <c r="D56" s="4" t="inlineStr">
        <is>
          <t>m n</t>
        </is>
      </c>
      <c r="E56" s="5" t="n">
        <v>0</v>
      </c>
      <c r="F56" s="5" t="n">
        <v>5</v>
      </c>
      <c r="G56" s="5" t="n">
        <v>0</v>
      </c>
      <c r="H56" s="5" t="n">
        <v>5</v>
      </c>
      <c r="I56" s="5" t="n">
        <v>-4</v>
      </c>
      <c r="J56" s="6" t="n">
        <v>0.3</v>
      </c>
      <c r="K56" s="4" t="inlineStr">
        <is>
          <t>%</t>
        </is>
      </c>
      <c r="L56" s="5" t="n">
        <v>0</v>
      </c>
      <c r="M56" s="5" t="n">
        <v>57</v>
      </c>
      <c r="N56" s="5" t="n">
        <v>0</v>
      </c>
      <c r="O56" s="4" t="inlineStr">
        <is>
          <t>6 5 -</t>
        </is>
      </c>
      <c r="P56" s="5" t="n">
        <v>11</v>
      </c>
      <c r="Q56" s="6" t="n">
        <v>0.9</v>
      </c>
      <c r="R56" s="4" t="inlineStr">
        <is>
          <t>%</t>
        </is>
      </c>
    </row>
    <row r="58">
      <c r="A58" s="4" t="inlineStr">
        <is>
          <t>A S K ( m</t>
        </is>
      </c>
      <c r="B58" s="4" t="inlineStr">
        <is>
          <t>k m )</t>
        </is>
      </c>
      <c r="C58" s="5" t="n">
        <v>9</v>
      </c>
      <c r="D58" s="5" t="n">
        <v>8</v>
      </c>
      <c r="E58" s="5" t="n">
        <v>8</v>
      </c>
      <c r="F58" s="6" t="n">
        <v>0.5</v>
      </c>
      <c r="G58" s="4" t="inlineStr">
        <is>
          <t>%</t>
        </is>
      </c>
      <c r="H58" s="5" t="n">
        <v>9</v>
      </c>
      <c r="I58" s="5" t="n">
        <v>30</v>
      </c>
      <c r="J58" s="6" t="n">
        <v>1.1</v>
      </c>
      <c r="K58" s="4" t="inlineStr">
        <is>
          <t>7 1 -</t>
        </is>
      </c>
      <c r="L58" s="5" t="n">
        <v>20</v>
      </c>
      <c r="M58" s="6" t="n">
        <v>0.6</v>
      </c>
      <c r="N58" s="4" t="inlineStr">
        <is>
          <t>%</t>
        </is>
      </c>
    </row>
    <row r="60">
      <c r="A60" s="4" t="inlineStr">
        <is>
          <t>Yapılan</t>
        </is>
      </c>
      <c r="B60" s="4" t="inlineStr">
        <is>
          <t>satış an</t>
        </is>
      </c>
      <c r="C60" s="4" t="inlineStr">
        <is>
          <t>laşması</t>
        </is>
      </c>
      <c r="D60" s="4" t="inlineStr">
        <is>
          <t>paral</t>
        </is>
      </c>
      <c r="E60" s="4" t="inlineStr">
        <is>
          <t>elin</t>
        </is>
      </c>
      <c r="F60" s="4" t="inlineStr">
        <is>
          <t>de</t>
        </is>
      </c>
      <c r="G60" s="4" t="inlineStr">
        <is>
          <t>Air Manas’daki pay sahipliği 14 Ekim 20</t>
        </is>
      </c>
      <c r="H60" s="5" t="n">
        <v>19</v>
      </c>
      <c r="I60" s="4" t="inlineStr">
        <is>
          <t>’da devredil</t>
        </is>
      </c>
      <c r="J60" s="4" t="inlineStr">
        <is>
          <t>miş</t>
        </is>
      </c>
      <c r="K60" s="4" t="inlineStr">
        <is>
          <t>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2026-04-16T10:28:54Z</dcterms:created>
  <dcterms:modified xmlns:dcterms="http://purl.org/dc/terms/" xmlns:xsi="http://www.w3.org/2001/XMLSchema-instance" xsi:type="dcterms:W3CDTF">2026-04-16T17:12:11Z</dcterms:modified>
</cp:coreProperties>
</file>